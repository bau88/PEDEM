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05" yWindow="-105" windowWidth="19425" windowHeight="10425" firstSheet="1" activeTab="2"/>
  </bookViews>
  <sheets>
    <sheet name="Tablas dinamicas" sheetId="6" state="hidden" r:id="rId1"/>
    <sheet name="DB Futuros" sheetId="7" r:id="rId2"/>
    <sheet name="Bitacora" sheetId="3" r:id="rId3"/>
    <sheet name="TradeManager" sheetId="8" r:id="rId4"/>
  </sheets>
  <definedNames>
    <definedName name="_xlnm._FilterDatabase" localSheetId="2" hidden="1">Bitacora!$A$1:$AG$1</definedName>
    <definedName name="_xlnm._FilterDatabase" localSheetId="3" hidden="1">TradeManager!$A$2:$Z$2</definedName>
    <definedName name="SegmentaciónDeDatos_FECHA">#N/A</definedName>
    <definedName name="SegmentaciónDeDatos_SEMANA">#N/A</definedName>
  </definedNames>
  <calcPr calcId="144525"/>
  <pivotCaches>
    <pivotCache cacheId="0"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Lst>
</workbook>
</file>

<file path=xl/calcChain.xml><?xml version="1.0" encoding="utf-8"?>
<calcChain xmlns="http://schemas.openxmlformats.org/spreadsheetml/2006/main">
  <c r="AC341" i="3" l="1"/>
  <c r="AC342" i="3"/>
  <c r="AC343" i="3"/>
  <c r="AC344" i="3"/>
  <c r="AC345" i="3"/>
  <c r="AC346" i="3"/>
  <c r="AC347" i="3"/>
  <c r="AC348" i="3"/>
  <c r="AC349" i="3"/>
  <c r="AC350" i="3"/>
  <c r="AC351" i="3"/>
  <c r="AC352" i="3"/>
  <c r="AC353" i="3"/>
  <c r="AC354" i="3"/>
  <c r="AC355" i="3"/>
  <c r="AC356" i="3"/>
  <c r="AC357" i="3"/>
  <c r="AC358" i="3"/>
  <c r="AC359" i="3"/>
  <c r="AC360" i="3"/>
  <c r="AC361" i="3"/>
  <c r="AC362" i="3"/>
  <c r="AC363" i="3"/>
  <c r="AC364" i="3"/>
  <c r="AC365" i="3"/>
  <c r="AC366" i="3"/>
  <c r="AD341" i="3"/>
  <c r="AD343" i="3"/>
  <c r="AD345" i="3"/>
  <c r="AD347" i="3"/>
  <c r="AD353" i="3"/>
  <c r="AD355" i="3"/>
  <c r="AD361" i="3"/>
  <c r="AD363" i="3"/>
  <c r="AE341" i="3"/>
  <c r="AE343" i="3"/>
  <c r="AE345" i="3"/>
  <c r="AE347" i="3"/>
  <c r="AE353" i="3"/>
  <c r="AE355" i="3"/>
  <c r="AE361" i="3"/>
  <c r="AE363" i="3"/>
  <c r="L337" i="3"/>
  <c r="M337" i="3"/>
  <c r="U337" i="3" s="1"/>
  <c r="P337" i="3"/>
  <c r="Y337" i="3"/>
  <c r="Z337" i="3"/>
  <c r="AA337" i="3"/>
  <c r="AB337" i="3"/>
  <c r="L338" i="3"/>
  <c r="M338" i="3"/>
  <c r="U338" i="3" s="1"/>
  <c r="P338" i="3"/>
  <c r="L339" i="3"/>
  <c r="M339" i="3"/>
  <c r="P339" i="3"/>
  <c r="L340" i="3"/>
  <c r="M340" i="3"/>
  <c r="U340" i="3" s="1"/>
  <c r="P340" i="3"/>
  <c r="L341" i="3"/>
  <c r="M341" i="3"/>
  <c r="P341" i="3"/>
  <c r="U341" i="3" s="1"/>
  <c r="L342" i="3"/>
  <c r="M342" i="3"/>
  <c r="AE342" i="3" s="1"/>
  <c r="P342" i="3"/>
  <c r="Y342" i="3"/>
  <c r="Z342" i="3"/>
  <c r="AA342" i="3"/>
  <c r="AB342" i="3"/>
  <c r="L343" i="3"/>
  <c r="M343" i="3"/>
  <c r="P343" i="3"/>
  <c r="L344" i="3"/>
  <c r="M344" i="3"/>
  <c r="AD344" i="3" s="1"/>
  <c r="P344" i="3"/>
  <c r="L345" i="3"/>
  <c r="M345" i="3"/>
  <c r="P345" i="3"/>
  <c r="U345" i="3" s="1"/>
  <c r="L346" i="3"/>
  <c r="M346" i="3"/>
  <c r="P346" i="3"/>
  <c r="L347" i="3"/>
  <c r="M347" i="3"/>
  <c r="P347" i="3"/>
  <c r="Y347" i="3"/>
  <c r="Z347" i="3"/>
  <c r="AA347" i="3"/>
  <c r="AB347" i="3"/>
  <c r="L348" i="3"/>
  <c r="M348" i="3"/>
  <c r="AD348" i="3" s="1"/>
  <c r="P348" i="3"/>
  <c r="U348" i="3"/>
  <c r="L349" i="3"/>
  <c r="M349" i="3"/>
  <c r="U349" i="3" s="1"/>
  <c r="P349" i="3"/>
  <c r="L350" i="3"/>
  <c r="M350" i="3"/>
  <c r="AD350" i="3" s="1"/>
  <c r="P350" i="3"/>
  <c r="L351" i="3"/>
  <c r="M351" i="3"/>
  <c r="P351" i="3"/>
  <c r="L352" i="3"/>
  <c r="M352" i="3"/>
  <c r="AD352" i="3" s="1"/>
  <c r="P352" i="3"/>
  <c r="U352" i="3" s="1"/>
  <c r="Y352" i="3"/>
  <c r="Z352" i="3"/>
  <c r="AA352" i="3"/>
  <c r="AB352" i="3"/>
  <c r="L353" i="3"/>
  <c r="M353" i="3"/>
  <c r="P353" i="3"/>
  <c r="L354" i="3"/>
  <c r="M354" i="3"/>
  <c r="P354" i="3"/>
  <c r="L355" i="3"/>
  <c r="M355" i="3"/>
  <c r="P355" i="3"/>
  <c r="U355" i="3" s="1"/>
  <c r="L356" i="3"/>
  <c r="M356" i="3"/>
  <c r="AE356" i="3" s="1"/>
  <c r="P356" i="3"/>
  <c r="L357" i="3"/>
  <c r="M357" i="3"/>
  <c r="P357" i="3"/>
  <c r="Y357" i="3"/>
  <c r="Z357" i="3"/>
  <c r="AA357" i="3"/>
  <c r="AB357" i="3"/>
  <c r="L358" i="3"/>
  <c r="M358" i="3"/>
  <c r="P358" i="3"/>
  <c r="L359" i="3"/>
  <c r="M359" i="3"/>
  <c r="P359" i="3"/>
  <c r="L360" i="3"/>
  <c r="M360" i="3"/>
  <c r="AD360" i="3" s="1"/>
  <c r="P360" i="3"/>
  <c r="U360" i="3" s="1"/>
  <c r="L361" i="3"/>
  <c r="M361" i="3"/>
  <c r="P361" i="3"/>
  <c r="U361" i="3" s="1"/>
  <c r="L362" i="3"/>
  <c r="M362" i="3"/>
  <c r="P362" i="3"/>
  <c r="Y362" i="3"/>
  <c r="Z362" i="3"/>
  <c r="AA362" i="3"/>
  <c r="AB362" i="3"/>
  <c r="L363" i="3"/>
  <c r="M363" i="3"/>
  <c r="P363" i="3"/>
  <c r="L364" i="3"/>
  <c r="M364" i="3"/>
  <c r="AD364" i="3" s="1"/>
  <c r="P364" i="3"/>
  <c r="U364" i="3" s="1"/>
  <c r="L365" i="3"/>
  <c r="M365" i="3"/>
  <c r="P365" i="3"/>
  <c r="L366" i="3"/>
  <c r="M366" i="3"/>
  <c r="AD366" i="3" s="1"/>
  <c r="P366"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AC273" i="3"/>
  <c r="AC274" i="3"/>
  <c r="AC275" i="3"/>
  <c r="AC276" i="3"/>
  <c r="AC277" i="3"/>
  <c r="AC278" i="3"/>
  <c r="AC279" i="3"/>
  <c r="AC280" i="3"/>
  <c r="AC281" i="3"/>
  <c r="AC282" i="3"/>
  <c r="AC283" i="3"/>
  <c r="AC284" i="3"/>
  <c r="AC285" i="3"/>
  <c r="AC286" i="3"/>
  <c r="AC287" i="3"/>
  <c r="AC288" i="3"/>
  <c r="AC289" i="3"/>
  <c r="AC290" i="3"/>
  <c r="AC291" i="3"/>
  <c r="AC292" i="3"/>
  <c r="AC293" i="3"/>
  <c r="AC294" i="3"/>
  <c r="AC295" i="3"/>
  <c r="AC296" i="3"/>
  <c r="AC297" i="3"/>
  <c r="AC298" i="3"/>
  <c r="AC299" i="3"/>
  <c r="AC300" i="3"/>
  <c r="AC301" i="3"/>
  <c r="AC302" i="3"/>
  <c r="AC303" i="3"/>
  <c r="AC304" i="3"/>
  <c r="AC305" i="3"/>
  <c r="AC306" i="3"/>
  <c r="AC307" i="3"/>
  <c r="AC308" i="3"/>
  <c r="AC309" i="3"/>
  <c r="AC310" i="3"/>
  <c r="AC311" i="3"/>
  <c r="AC312" i="3"/>
  <c r="AC313" i="3"/>
  <c r="AC314" i="3"/>
  <c r="AC315" i="3"/>
  <c r="AC316" i="3"/>
  <c r="AC317" i="3"/>
  <c r="AC318" i="3"/>
  <c r="AC319" i="3"/>
  <c r="AC320" i="3"/>
  <c r="AC321" i="3"/>
  <c r="AC322" i="3"/>
  <c r="AC323" i="3"/>
  <c r="AC324" i="3"/>
  <c r="AC325" i="3"/>
  <c r="AC326" i="3"/>
  <c r="AC327" i="3"/>
  <c r="AC328" i="3"/>
  <c r="AC329" i="3"/>
  <c r="AC330" i="3"/>
  <c r="AC331" i="3"/>
  <c r="AC332" i="3"/>
  <c r="AC333" i="3"/>
  <c r="AC334" i="3"/>
  <c r="AC335" i="3"/>
  <c r="AC336" i="3"/>
  <c r="AC337" i="3"/>
  <c r="AC338" i="3"/>
  <c r="AC339" i="3"/>
  <c r="AC340" i="3"/>
  <c r="AD256" i="3"/>
  <c r="AD290" i="3"/>
  <c r="AD298" i="3"/>
  <c r="AD314" i="3"/>
  <c r="AD330" i="3"/>
  <c r="AD338" i="3"/>
  <c r="AD339" i="3"/>
  <c r="AD340" i="3"/>
  <c r="AE259" i="3"/>
  <c r="AE291" i="3"/>
  <c r="AE299" i="3"/>
  <c r="AE307" i="3"/>
  <c r="AE315" i="3"/>
  <c r="AE323" i="3"/>
  <c r="AE331" i="3"/>
  <c r="AE337" i="3"/>
  <c r="AE338" i="3"/>
  <c r="AE339" i="3"/>
  <c r="L217" i="3"/>
  <c r="M217" i="3"/>
  <c r="U217" i="3" s="1"/>
  <c r="P217" i="3"/>
  <c r="Y217" i="3"/>
  <c r="Z217" i="3"/>
  <c r="AA217" i="3"/>
  <c r="AB217" i="3"/>
  <c r="L218" i="3"/>
  <c r="M218" i="3"/>
  <c r="U218" i="3" s="1"/>
  <c r="P218" i="3"/>
  <c r="L219" i="3"/>
  <c r="M219" i="3"/>
  <c r="U219" i="3" s="1"/>
  <c r="P219" i="3"/>
  <c r="L220" i="3"/>
  <c r="M220" i="3"/>
  <c r="U220" i="3" s="1"/>
  <c r="P220" i="3"/>
  <c r="L221" i="3"/>
  <c r="M221" i="3"/>
  <c r="P221" i="3"/>
  <c r="U221" i="3" s="1"/>
  <c r="L222" i="3"/>
  <c r="M222" i="3"/>
  <c r="P222" i="3"/>
  <c r="Y222" i="3"/>
  <c r="Z222" i="3"/>
  <c r="AA222" i="3"/>
  <c r="AB222" i="3"/>
  <c r="L223" i="3"/>
  <c r="M223" i="3"/>
  <c r="U223" i="3" s="1"/>
  <c r="P223" i="3"/>
  <c r="L224" i="3"/>
  <c r="M224" i="3"/>
  <c r="P224" i="3"/>
  <c r="L225" i="3"/>
  <c r="M225" i="3"/>
  <c r="P225" i="3"/>
  <c r="U225" i="3" s="1"/>
  <c r="L226" i="3"/>
  <c r="M226" i="3"/>
  <c r="P226" i="3"/>
  <c r="L227" i="3"/>
  <c r="M227" i="3"/>
  <c r="P227" i="3"/>
  <c r="Y227" i="3"/>
  <c r="Z227" i="3"/>
  <c r="AA227" i="3"/>
  <c r="AB227" i="3"/>
  <c r="L228" i="3"/>
  <c r="M228" i="3"/>
  <c r="P228" i="3"/>
  <c r="U228" i="3"/>
  <c r="L229" i="3"/>
  <c r="M229" i="3"/>
  <c r="P229" i="3"/>
  <c r="L230" i="3"/>
  <c r="M230" i="3"/>
  <c r="U230" i="3" s="1"/>
  <c r="P230" i="3"/>
  <c r="L231" i="3"/>
  <c r="M231" i="3"/>
  <c r="U231" i="3" s="1"/>
  <c r="P231" i="3"/>
  <c r="L232" i="3"/>
  <c r="M232" i="3"/>
  <c r="AE232" i="3" s="1"/>
  <c r="P232" i="3"/>
  <c r="Y232" i="3"/>
  <c r="Z232" i="3"/>
  <c r="AA232" i="3"/>
  <c r="AB232" i="3"/>
  <c r="L233" i="3"/>
  <c r="M233" i="3"/>
  <c r="P233" i="3"/>
  <c r="L234" i="3"/>
  <c r="M234" i="3"/>
  <c r="AE234" i="3" s="1"/>
  <c r="P234" i="3"/>
  <c r="L235" i="3"/>
  <c r="M235" i="3"/>
  <c r="AD235" i="3" s="1"/>
  <c r="P235" i="3"/>
  <c r="L236" i="3"/>
  <c r="M236" i="3"/>
  <c r="P236" i="3"/>
  <c r="L237" i="3"/>
  <c r="M237" i="3"/>
  <c r="P237" i="3"/>
  <c r="Y237" i="3"/>
  <c r="Z237" i="3"/>
  <c r="AA237" i="3"/>
  <c r="AB237" i="3"/>
  <c r="L238" i="3"/>
  <c r="M238" i="3"/>
  <c r="AE238" i="3" s="1"/>
  <c r="P238" i="3"/>
  <c r="L239" i="3"/>
  <c r="M239" i="3"/>
  <c r="AE239" i="3" s="1"/>
  <c r="P239" i="3"/>
  <c r="L240" i="3"/>
  <c r="M240" i="3"/>
  <c r="AD240" i="3" s="1"/>
  <c r="P240" i="3"/>
  <c r="L241" i="3"/>
  <c r="M241" i="3"/>
  <c r="AD241" i="3" s="1"/>
  <c r="P241" i="3"/>
  <c r="L242" i="3"/>
  <c r="M242" i="3"/>
  <c r="AE242" i="3" s="1"/>
  <c r="P242" i="3"/>
  <c r="Y242" i="3"/>
  <c r="Z242" i="3"/>
  <c r="AA242" i="3"/>
  <c r="AB242" i="3"/>
  <c r="L243" i="3"/>
  <c r="M243" i="3"/>
  <c r="AE243" i="3" s="1"/>
  <c r="P243" i="3"/>
  <c r="L244" i="3"/>
  <c r="M244" i="3"/>
  <c r="AE244" i="3" s="1"/>
  <c r="P244" i="3"/>
  <c r="L245" i="3"/>
  <c r="M245" i="3"/>
  <c r="AD245" i="3" s="1"/>
  <c r="P245" i="3"/>
  <c r="L246" i="3"/>
  <c r="M246" i="3"/>
  <c r="P246" i="3"/>
  <c r="L247" i="3"/>
  <c r="M247" i="3"/>
  <c r="AE247" i="3" s="1"/>
  <c r="P247" i="3"/>
  <c r="Y247" i="3"/>
  <c r="Z247" i="3"/>
  <c r="AA247" i="3"/>
  <c r="AB247" i="3"/>
  <c r="L248" i="3"/>
  <c r="M248" i="3"/>
  <c r="AE248" i="3" s="1"/>
  <c r="P248" i="3"/>
  <c r="L249" i="3"/>
  <c r="M249" i="3"/>
  <c r="P249" i="3"/>
  <c r="L250" i="3"/>
  <c r="M250" i="3"/>
  <c r="AD250" i="3" s="1"/>
  <c r="P250" i="3"/>
  <c r="L251" i="3"/>
  <c r="M251" i="3"/>
  <c r="AD251" i="3" s="1"/>
  <c r="P251" i="3"/>
  <c r="U251" i="3"/>
  <c r="L252" i="3"/>
  <c r="M252" i="3"/>
  <c r="AE252" i="3" s="1"/>
  <c r="P252" i="3"/>
  <c r="U252" i="3"/>
  <c r="Y252" i="3"/>
  <c r="Z252" i="3"/>
  <c r="AA252" i="3"/>
  <c r="AB252" i="3"/>
  <c r="L253" i="3"/>
  <c r="M253" i="3"/>
  <c r="P253" i="3"/>
  <c r="L254" i="3"/>
  <c r="M254" i="3"/>
  <c r="AE254" i="3" s="1"/>
  <c r="P254" i="3"/>
  <c r="U254" i="3"/>
  <c r="L255" i="3"/>
  <c r="M255" i="3"/>
  <c r="AD255" i="3" s="1"/>
  <c r="P255" i="3"/>
  <c r="U255" i="3"/>
  <c r="L256" i="3"/>
  <c r="M256" i="3"/>
  <c r="P256" i="3"/>
  <c r="L257" i="3"/>
  <c r="M257" i="3"/>
  <c r="AE257" i="3" s="1"/>
  <c r="P257" i="3"/>
  <c r="Y257" i="3"/>
  <c r="Z257" i="3"/>
  <c r="AA257" i="3"/>
  <c r="AB257" i="3"/>
  <c r="L258" i="3"/>
  <c r="M258" i="3"/>
  <c r="AE258" i="3" s="1"/>
  <c r="P258" i="3"/>
  <c r="L259" i="3"/>
  <c r="M259" i="3"/>
  <c r="P259" i="3"/>
  <c r="L260" i="3"/>
  <c r="M260" i="3"/>
  <c r="P260" i="3"/>
  <c r="L261" i="3"/>
  <c r="M261" i="3"/>
  <c r="AD261" i="3" s="1"/>
  <c r="P261" i="3"/>
  <c r="L262" i="3"/>
  <c r="M262" i="3"/>
  <c r="AE262" i="3" s="1"/>
  <c r="P262" i="3"/>
  <c r="Y262" i="3"/>
  <c r="Z262" i="3"/>
  <c r="AA262" i="3"/>
  <c r="AB262" i="3"/>
  <c r="L263" i="3"/>
  <c r="M263" i="3"/>
  <c r="AD263" i="3" s="1"/>
  <c r="P263" i="3"/>
  <c r="L264" i="3"/>
  <c r="M264" i="3"/>
  <c r="AE264" i="3" s="1"/>
  <c r="P264" i="3"/>
  <c r="L265" i="3"/>
  <c r="M265" i="3"/>
  <c r="AD265" i="3" s="1"/>
  <c r="P265" i="3"/>
  <c r="L266" i="3"/>
  <c r="M266" i="3"/>
  <c r="AD266" i="3" s="1"/>
  <c r="P266" i="3"/>
  <c r="L267" i="3"/>
  <c r="M267" i="3"/>
  <c r="AD267" i="3" s="1"/>
  <c r="P267" i="3"/>
  <c r="Y267" i="3"/>
  <c r="Z267" i="3"/>
  <c r="AA267" i="3"/>
  <c r="AB267" i="3"/>
  <c r="L268" i="3"/>
  <c r="M268" i="3"/>
  <c r="AE268" i="3" s="1"/>
  <c r="P268" i="3"/>
  <c r="L269" i="3"/>
  <c r="M269" i="3"/>
  <c r="P269" i="3"/>
  <c r="L270" i="3"/>
  <c r="M270" i="3"/>
  <c r="AD270" i="3" s="1"/>
  <c r="P270" i="3"/>
  <c r="L271" i="3"/>
  <c r="M271" i="3"/>
  <c r="AD271" i="3" s="1"/>
  <c r="P271" i="3"/>
  <c r="U271" i="3" s="1"/>
  <c r="L272" i="3"/>
  <c r="M272" i="3"/>
  <c r="AE272" i="3" s="1"/>
  <c r="P272" i="3"/>
  <c r="Y272" i="3"/>
  <c r="Z272" i="3"/>
  <c r="AA272" i="3"/>
  <c r="AB272" i="3"/>
  <c r="L273" i="3"/>
  <c r="M273" i="3"/>
  <c r="AD273" i="3" s="1"/>
  <c r="P273" i="3"/>
  <c r="L274" i="3"/>
  <c r="M274" i="3"/>
  <c r="AE274" i="3" s="1"/>
  <c r="P274" i="3"/>
  <c r="L275" i="3"/>
  <c r="M275" i="3"/>
  <c r="AD275" i="3" s="1"/>
  <c r="P275" i="3"/>
  <c r="L276" i="3"/>
  <c r="M276" i="3"/>
  <c r="P276" i="3"/>
  <c r="L277" i="3"/>
  <c r="M277" i="3"/>
  <c r="AD277" i="3" s="1"/>
  <c r="P277" i="3"/>
  <c r="Y277" i="3"/>
  <c r="Z277" i="3"/>
  <c r="AA277" i="3"/>
  <c r="AB277" i="3"/>
  <c r="L278" i="3"/>
  <c r="M278" i="3"/>
  <c r="AE278" i="3" s="1"/>
  <c r="P278" i="3"/>
  <c r="L279" i="3"/>
  <c r="M279" i="3"/>
  <c r="P279" i="3"/>
  <c r="L280" i="3"/>
  <c r="M280" i="3"/>
  <c r="AE280" i="3" s="1"/>
  <c r="P280" i="3"/>
  <c r="L281" i="3"/>
  <c r="M281" i="3"/>
  <c r="AD281" i="3" s="1"/>
  <c r="P281" i="3"/>
  <c r="L282" i="3"/>
  <c r="M282" i="3"/>
  <c r="AE282" i="3" s="1"/>
  <c r="P282" i="3"/>
  <c r="Y282" i="3"/>
  <c r="Z282" i="3"/>
  <c r="AA282" i="3"/>
  <c r="AB282" i="3"/>
  <c r="L283" i="3"/>
  <c r="M283" i="3"/>
  <c r="AE283" i="3" s="1"/>
  <c r="P283" i="3"/>
  <c r="L284" i="3"/>
  <c r="M284" i="3"/>
  <c r="AE284" i="3" s="1"/>
  <c r="P284" i="3"/>
  <c r="U284" i="3" s="1"/>
  <c r="L285" i="3"/>
  <c r="M285" i="3"/>
  <c r="AD285" i="3" s="1"/>
  <c r="P285" i="3"/>
  <c r="U285" i="3"/>
  <c r="L286" i="3"/>
  <c r="M286" i="3"/>
  <c r="P286" i="3"/>
  <c r="L287" i="3"/>
  <c r="M287" i="3"/>
  <c r="AE287" i="3" s="1"/>
  <c r="P287" i="3"/>
  <c r="Y287" i="3"/>
  <c r="Z287" i="3"/>
  <c r="AA287" i="3"/>
  <c r="AB287" i="3"/>
  <c r="L288" i="3"/>
  <c r="M288" i="3"/>
  <c r="AE288" i="3" s="1"/>
  <c r="P288" i="3"/>
  <c r="L289" i="3"/>
  <c r="M289" i="3"/>
  <c r="P289" i="3"/>
  <c r="L290" i="3"/>
  <c r="M290" i="3"/>
  <c r="P290" i="3"/>
  <c r="L291" i="3"/>
  <c r="M291" i="3"/>
  <c r="AD291" i="3" s="1"/>
  <c r="P291" i="3"/>
  <c r="U291" i="3"/>
  <c r="L292" i="3"/>
  <c r="M292" i="3"/>
  <c r="P292" i="3"/>
  <c r="Y292" i="3"/>
  <c r="Z292" i="3"/>
  <c r="AA292" i="3"/>
  <c r="AB292" i="3"/>
  <c r="L293" i="3"/>
  <c r="M293" i="3"/>
  <c r="AD293" i="3" s="1"/>
  <c r="P293" i="3"/>
  <c r="U293" i="3"/>
  <c r="L294" i="3"/>
  <c r="M294" i="3"/>
  <c r="AD294" i="3" s="1"/>
  <c r="P294" i="3"/>
  <c r="L295" i="3"/>
  <c r="M295" i="3"/>
  <c r="P295" i="3"/>
  <c r="L296" i="3"/>
  <c r="M296" i="3"/>
  <c r="AE296" i="3" s="1"/>
  <c r="P296" i="3"/>
  <c r="U296" i="3" s="1"/>
  <c r="L297" i="3"/>
  <c r="M297" i="3"/>
  <c r="AD297" i="3" s="1"/>
  <c r="P297" i="3"/>
  <c r="U297" i="3"/>
  <c r="Y297" i="3"/>
  <c r="Z297" i="3"/>
  <c r="AA297" i="3"/>
  <c r="AB297" i="3"/>
  <c r="L298" i="3"/>
  <c r="M298" i="3"/>
  <c r="P298" i="3"/>
  <c r="L299" i="3"/>
  <c r="M299" i="3"/>
  <c r="P299" i="3"/>
  <c r="L300" i="3"/>
  <c r="M300" i="3"/>
  <c r="AE300" i="3" s="1"/>
  <c r="P300" i="3"/>
  <c r="L301" i="3"/>
  <c r="M301" i="3"/>
  <c r="P301" i="3"/>
  <c r="L302" i="3"/>
  <c r="M302" i="3"/>
  <c r="P302" i="3"/>
  <c r="Y302" i="3"/>
  <c r="Z302" i="3"/>
  <c r="AA302" i="3"/>
  <c r="AB302" i="3"/>
  <c r="L303" i="3"/>
  <c r="M303" i="3"/>
  <c r="AD303" i="3" s="1"/>
  <c r="P303" i="3"/>
  <c r="U303" i="3"/>
  <c r="L304" i="3"/>
  <c r="M304" i="3"/>
  <c r="AD304" i="3" s="1"/>
  <c r="P304" i="3"/>
  <c r="L305" i="3"/>
  <c r="M305" i="3"/>
  <c r="AE305" i="3" s="1"/>
  <c r="P305" i="3"/>
  <c r="L306" i="3"/>
  <c r="M306" i="3"/>
  <c r="AE306" i="3" s="1"/>
  <c r="P306" i="3"/>
  <c r="L307" i="3"/>
  <c r="M307" i="3"/>
  <c r="AD307" i="3" s="1"/>
  <c r="P307" i="3"/>
  <c r="Y307" i="3"/>
  <c r="Z307" i="3"/>
  <c r="AA307" i="3"/>
  <c r="AB307" i="3"/>
  <c r="L308" i="3"/>
  <c r="M308" i="3"/>
  <c r="P308" i="3"/>
  <c r="L309" i="3"/>
  <c r="M309" i="3"/>
  <c r="AD309" i="3" s="1"/>
  <c r="P309" i="3"/>
  <c r="U309" i="3" s="1"/>
  <c r="L310" i="3"/>
  <c r="M310" i="3"/>
  <c r="AE310" i="3" s="1"/>
  <c r="P310" i="3"/>
  <c r="U310" i="3"/>
  <c r="L311" i="3"/>
  <c r="M311" i="3"/>
  <c r="AE311" i="3" s="1"/>
  <c r="P311" i="3"/>
  <c r="L312" i="3"/>
  <c r="M312" i="3"/>
  <c r="AD312" i="3" s="1"/>
  <c r="P312" i="3"/>
  <c r="Y312" i="3"/>
  <c r="Z312" i="3"/>
  <c r="AA312" i="3"/>
  <c r="AB312" i="3"/>
  <c r="L313" i="3"/>
  <c r="M313" i="3"/>
  <c r="P313" i="3"/>
  <c r="L314" i="3"/>
  <c r="M314" i="3"/>
  <c r="P314" i="3"/>
  <c r="L315" i="3"/>
  <c r="M315" i="3"/>
  <c r="AD315" i="3" s="1"/>
  <c r="P315" i="3"/>
  <c r="L316" i="3"/>
  <c r="M316" i="3"/>
  <c r="AE316" i="3" s="1"/>
  <c r="P316" i="3"/>
  <c r="L317" i="3"/>
  <c r="M317" i="3"/>
  <c r="P317" i="3"/>
  <c r="Y317" i="3"/>
  <c r="Z317" i="3"/>
  <c r="AA317" i="3"/>
  <c r="AB317" i="3"/>
  <c r="L318" i="3"/>
  <c r="M318" i="3"/>
  <c r="AE318" i="3" s="1"/>
  <c r="P318" i="3"/>
  <c r="U318" i="3" s="1"/>
  <c r="L319" i="3"/>
  <c r="M319" i="3"/>
  <c r="AD319" i="3" s="1"/>
  <c r="P319" i="3"/>
  <c r="U319" i="3"/>
  <c r="L320" i="3"/>
  <c r="M320" i="3"/>
  <c r="AD320" i="3" s="1"/>
  <c r="P320" i="3"/>
  <c r="L321" i="3"/>
  <c r="M321" i="3"/>
  <c r="AE321" i="3" s="1"/>
  <c r="P321" i="3"/>
  <c r="L322" i="3"/>
  <c r="M322" i="3"/>
  <c r="AE322" i="3" s="1"/>
  <c r="P322" i="3"/>
  <c r="Y322" i="3"/>
  <c r="Z322" i="3"/>
  <c r="AA322" i="3"/>
  <c r="AB322" i="3"/>
  <c r="L323" i="3"/>
  <c r="M323" i="3"/>
  <c r="P323" i="3"/>
  <c r="L324" i="3"/>
  <c r="M324" i="3"/>
  <c r="P324" i="3"/>
  <c r="L325" i="3"/>
  <c r="M325" i="3"/>
  <c r="AD325" i="3" s="1"/>
  <c r="P325" i="3"/>
  <c r="L326" i="3"/>
  <c r="M326" i="3"/>
  <c r="AE326" i="3" s="1"/>
  <c r="P326" i="3"/>
  <c r="L327" i="3"/>
  <c r="M327" i="3"/>
  <c r="AE327" i="3" s="1"/>
  <c r="P327" i="3"/>
  <c r="Y327" i="3"/>
  <c r="Z327" i="3"/>
  <c r="AA327" i="3"/>
  <c r="AB327" i="3"/>
  <c r="L328" i="3"/>
  <c r="M328" i="3"/>
  <c r="AE328" i="3" s="1"/>
  <c r="P328" i="3"/>
  <c r="U328" i="3" s="1"/>
  <c r="L329" i="3"/>
  <c r="M329" i="3"/>
  <c r="AD329" i="3" s="1"/>
  <c r="P329" i="3"/>
  <c r="U329" i="3"/>
  <c r="L330" i="3"/>
  <c r="M330" i="3"/>
  <c r="P330" i="3"/>
  <c r="L331" i="3"/>
  <c r="M331" i="3"/>
  <c r="P331" i="3"/>
  <c r="L332" i="3"/>
  <c r="M332" i="3"/>
  <c r="AE332" i="3" s="1"/>
  <c r="P332" i="3"/>
  <c r="Y332" i="3"/>
  <c r="Z332" i="3"/>
  <c r="AA332" i="3"/>
  <c r="AB332" i="3"/>
  <c r="L333" i="3"/>
  <c r="M333" i="3"/>
  <c r="P333" i="3"/>
  <c r="L334" i="3"/>
  <c r="M334" i="3"/>
  <c r="P334" i="3"/>
  <c r="L335" i="3"/>
  <c r="M335" i="3"/>
  <c r="AD335" i="3" s="1"/>
  <c r="P335" i="3"/>
  <c r="L336" i="3"/>
  <c r="M336" i="3"/>
  <c r="AE336" i="3" s="1"/>
  <c r="P336" i="3"/>
  <c r="AC212" i="3"/>
  <c r="AC213" i="3"/>
  <c r="AC214" i="3"/>
  <c r="AC215" i="3"/>
  <c r="AC216" i="3"/>
  <c r="AC217" i="3"/>
  <c r="AC218" i="3"/>
  <c r="AC219" i="3"/>
  <c r="AC220" i="3"/>
  <c r="AC221" i="3"/>
  <c r="AC222" i="3"/>
  <c r="AC223" i="3"/>
  <c r="AC224" i="3"/>
  <c r="AC225" i="3"/>
  <c r="AC226" i="3"/>
  <c r="AC227" i="3"/>
  <c r="AC228" i="3"/>
  <c r="AC229" i="3"/>
  <c r="AC230" i="3"/>
  <c r="AC231" i="3"/>
  <c r="AD227" i="3"/>
  <c r="AE227" i="3"/>
  <c r="L147" i="3"/>
  <c r="M147" i="3"/>
  <c r="P147" i="3"/>
  <c r="L148" i="3"/>
  <c r="M148" i="3"/>
  <c r="P148" i="3"/>
  <c r="L149" i="3"/>
  <c r="M149" i="3"/>
  <c r="P149" i="3"/>
  <c r="L150" i="3"/>
  <c r="M150" i="3"/>
  <c r="U150" i="3" s="1"/>
  <c r="P150" i="3"/>
  <c r="L151" i="3"/>
  <c r="M151" i="3"/>
  <c r="P151" i="3"/>
  <c r="L152" i="3"/>
  <c r="M152" i="3"/>
  <c r="P152" i="3"/>
  <c r="Y152" i="3"/>
  <c r="Z152" i="3"/>
  <c r="AA152" i="3"/>
  <c r="AB152" i="3"/>
  <c r="L153" i="3"/>
  <c r="M153" i="3"/>
  <c r="P153" i="3"/>
  <c r="L154" i="3"/>
  <c r="M154" i="3"/>
  <c r="P154" i="3"/>
  <c r="U154" i="3" s="1"/>
  <c r="L155" i="3"/>
  <c r="M155" i="3"/>
  <c r="U155" i="3" s="1"/>
  <c r="P155" i="3"/>
  <c r="L156" i="3"/>
  <c r="M156" i="3"/>
  <c r="P156" i="3"/>
  <c r="L157" i="3"/>
  <c r="M157" i="3"/>
  <c r="P157" i="3"/>
  <c r="Y157" i="3"/>
  <c r="Z157" i="3"/>
  <c r="AA157" i="3"/>
  <c r="AB157" i="3"/>
  <c r="L158" i="3"/>
  <c r="M158" i="3"/>
  <c r="P158" i="3"/>
  <c r="U158" i="3"/>
  <c r="L159" i="3"/>
  <c r="M159" i="3"/>
  <c r="P159" i="3"/>
  <c r="L160" i="3"/>
  <c r="M160" i="3"/>
  <c r="P160" i="3"/>
  <c r="L161" i="3"/>
  <c r="M161" i="3"/>
  <c r="P161" i="3"/>
  <c r="L162" i="3"/>
  <c r="M162" i="3"/>
  <c r="P162" i="3"/>
  <c r="Y162" i="3"/>
  <c r="Z162" i="3"/>
  <c r="AA162" i="3"/>
  <c r="AB162" i="3"/>
  <c r="L163" i="3"/>
  <c r="M163" i="3"/>
  <c r="P163" i="3"/>
  <c r="L164" i="3"/>
  <c r="M164" i="3"/>
  <c r="P164" i="3"/>
  <c r="L165" i="3"/>
  <c r="M165" i="3"/>
  <c r="P165" i="3"/>
  <c r="L166" i="3"/>
  <c r="M166" i="3"/>
  <c r="P166" i="3"/>
  <c r="L167" i="3"/>
  <c r="M167" i="3"/>
  <c r="P167" i="3"/>
  <c r="Y167" i="3"/>
  <c r="Z167" i="3"/>
  <c r="AA167" i="3"/>
  <c r="AB167" i="3"/>
  <c r="L168" i="3"/>
  <c r="M168" i="3"/>
  <c r="U168" i="3" s="1"/>
  <c r="P168" i="3"/>
  <c r="L169" i="3"/>
  <c r="M169" i="3"/>
  <c r="P169" i="3"/>
  <c r="L170" i="3"/>
  <c r="M170" i="3"/>
  <c r="P170" i="3"/>
  <c r="U170" i="3"/>
  <c r="L171" i="3"/>
  <c r="M171" i="3"/>
  <c r="P171" i="3"/>
  <c r="L172" i="3"/>
  <c r="M172" i="3"/>
  <c r="P172" i="3"/>
  <c r="Y172" i="3"/>
  <c r="Z172" i="3"/>
  <c r="AA172" i="3"/>
  <c r="AB172" i="3"/>
  <c r="L173" i="3"/>
  <c r="M173" i="3"/>
  <c r="U173" i="3" s="1"/>
  <c r="P173" i="3"/>
  <c r="L174" i="3"/>
  <c r="M174" i="3"/>
  <c r="P174" i="3"/>
  <c r="U174" i="3" s="1"/>
  <c r="L175" i="3"/>
  <c r="M175" i="3"/>
  <c r="P175" i="3"/>
  <c r="U175" i="3"/>
  <c r="L176" i="3"/>
  <c r="M176" i="3"/>
  <c r="P176" i="3"/>
  <c r="L177" i="3"/>
  <c r="M177" i="3"/>
  <c r="P177" i="3"/>
  <c r="Y177" i="3"/>
  <c r="Z177" i="3"/>
  <c r="AA177" i="3"/>
  <c r="AB177" i="3"/>
  <c r="L178" i="3"/>
  <c r="M178" i="3"/>
  <c r="U178" i="3" s="1"/>
  <c r="P178" i="3"/>
  <c r="L179" i="3"/>
  <c r="M179" i="3"/>
  <c r="P179" i="3"/>
  <c r="L180" i="3"/>
  <c r="M180" i="3"/>
  <c r="P180" i="3"/>
  <c r="L181" i="3"/>
  <c r="M181" i="3"/>
  <c r="P181" i="3"/>
  <c r="L182" i="3"/>
  <c r="M182" i="3"/>
  <c r="P182" i="3"/>
  <c r="Y182" i="3"/>
  <c r="Z182" i="3"/>
  <c r="AA182" i="3"/>
  <c r="AB182" i="3"/>
  <c r="L183" i="3"/>
  <c r="M183" i="3"/>
  <c r="P183" i="3"/>
  <c r="L184" i="3"/>
  <c r="M184" i="3"/>
  <c r="P184" i="3"/>
  <c r="L185" i="3"/>
  <c r="M185" i="3"/>
  <c r="P185" i="3"/>
  <c r="L186" i="3"/>
  <c r="M186" i="3"/>
  <c r="U186" i="3" s="1"/>
  <c r="P186" i="3"/>
  <c r="L187" i="3"/>
  <c r="M187" i="3"/>
  <c r="P187" i="3"/>
  <c r="U187" i="3" s="1"/>
  <c r="Y187" i="3"/>
  <c r="Z187" i="3"/>
  <c r="AA187" i="3"/>
  <c r="AB187" i="3"/>
  <c r="L188" i="3"/>
  <c r="M188" i="3"/>
  <c r="P188" i="3"/>
  <c r="L189" i="3"/>
  <c r="M189" i="3"/>
  <c r="P189" i="3"/>
  <c r="L190" i="3"/>
  <c r="M190" i="3"/>
  <c r="P190" i="3"/>
  <c r="L191" i="3"/>
  <c r="M191" i="3"/>
  <c r="P191" i="3"/>
  <c r="L192" i="3"/>
  <c r="M192" i="3"/>
  <c r="P192" i="3"/>
  <c r="Y192" i="3"/>
  <c r="Z192" i="3"/>
  <c r="AA192" i="3"/>
  <c r="AB192" i="3"/>
  <c r="L193" i="3"/>
  <c r="M193" i="3"/>
  <c r="U193" i="3" s="1"/>
  <c r="P193" i="3"/>
  <c r="L194" i="3"/>
  <c r="M194" i="3"/>
  <c r="P194" i="3"/>
  <c r="L195" i="3"/>
  <c r="M195" i="3"/>
  <c r="U195" i="3" s="1"/>
  <c r="P195" i="3"/>
  <c r="L196" i="3"/>
  <c r="M196" i="3"/>
  <c r="P196" i="3"/>
  <c r="L197" i="3"/>
  <c r="M197" i="3"/>
  <c r="P197" i="3"/>
  <c r="Y197" i="3"/>
  <c r="Z197" i="3"/>
  <c r="AA197" i="3"/>
  <c r="AB197" i="3"/>
  <c r="L198" i="3"/>
  <c r="M198" i="3"/>
  <c r="U198" i="3" s="1"/>
  <c r="P198" i="3"/>
  <c r="L199" i="3"/>
  <c r="M199" i="3"/>
  <c r="P199" i="3"/>
  <c r="L200" i="3"/>
  <c r="M200" i="3"/>
  <c r="P200" i="3"/>
  <c r="L201" i="3"/>
  <c r="M201" i="3"/>
  <c r="P201" i="3"/>
  <c r="U201" i="3" s="1"/>
  <c r="L202" i="3"/>
  <c r="M202" i="3"/>
  <c r="U202" i="3" s="1"/>
  <c r="P202" i="3"/>
  <c r="Y202" i="3"/>
  <c r="Z202" i="3"/>
  <c r="AA202" i="3"/>
  <c r="AB202" i="3"/>
  <c r="L203" i="3"/>
  <c r="M203" i="3"/>
  <c r="P203" i="3"/>
  <c r="L204" i="3"/>
  <c r="M204" i="3"/>
  <c r="P204" i="3"/>
  <c r="U204" i="3" s="1"/>
  <c r="L205" i="3"/>
  <c r="M205" i="3"/>
  <c r="P205" i="3"/>
  <c r="L206" i="3"/>
  <c r="M206" i="3"/>
  <c r="P206" i="3"/>
  <c r="L207" i="3"/>
  <c r="M207" i="3"/>
  <c r="U207" i="3" s="1"/>
  <c r="P207" i="3"/>
  <c r="Y207" i="3"/>
  <c r="Z207" i="3"/>
  <c r="AA207" i="3"/>
  <c r="AB207" i="3"/>
  <c r="L208" i="3"/>
  <c r="M208" i="3"/>
  <c r="U208" i="3" s="1"/>
  <c r="P208" i="3"/>
  <c r="L209" i="3"/>
  <c r="M209" i="3"/>
  <c r="P209" i="3"/>
  <c r="L210" i="3"/>
  <c r="M210" i="3"/>
  <c r="P210" i="3"/>
  <c r="L211" i="3"/>
  <c r="M211" i="3"/>
  <c r="P211" i="3"/>
  <c r="U211" i="3" s="1"/>
  <c r="L212" i="3"/>
  <c r="M212" i="3"/>
  <c r="U212" i="3" s="1"/>
  <c r="P212" i="3"/>
  <c r="Y212" i="3"/>
  <c r="Z212" i="3"/>
  <c r="AA212" i="3"/>
  <c r="AB212" i="3"/>
  <c r="L213" i="3"/>
  <c r="M213" i="3"/>
  <c r="AD213" i="3" s="1"/>
  <c r="P213" i="3"/>
  <c r="L214" i="3"/>
  <c r="M214" i="3"/>
  <c r="AD214" i="3" s="1"/>
  <c r="P214" i="3"/>
  <c r="L215" i="3"/>
  <c r="M215" i="3"/>
  <c r="AE215" i="3" s="1"/>
  <c r="P215" i="3"/>
  <c r="U215" i="3" s="1"/>
  <c r="L216" i="3"/>
  <c r="M216" i="3"/>
  <c r="P216" i="3"/>
  <c r="AD218" i="3"/>
  <c r="AD219" i="3"/>
  <c r="AD221" i="3"/>
  <c r="AD222" i="3"/>
  <c r="AD225" i="3"/>
  <c r="AD226" i="3"/>
  <c r="AD228" i="3"/>
  <c r="U272" i="3" l="1"/>
  <c r="U262" i="3"/>
  <c r="U261" i="3"/>
  <c r="U238" i="3"/>
  <c r="AE251" i="3"/>
  <c r="AD242" i="3"/>
  <c r="U278" i="3"/>
  <c r="U268" i="3"/>
  <c r="U245" i="3"/>
  <c r="U244" i="3"/>
  <c r="AE273" i="3"/>
  <c r="AD258" i="3"/>
  <c r="AD234" i="3"/>
  <c r="AE267" i="3"/>
  <c r="AE235" i="3"/>
  <c r="AD274" i="3"/>
  <c r="AD272" i="3"/>
  <c r="AD215" i="3"/>
  <c r="U222" i="3"/>
  <c r="U224" i="3"/>
  <c r="U301" i="3"/>
  <c r="AD301" i="3"/>
  <c r="U295" i="3"/>
  <c r="AD295" i="3"/>
  <c r="U289" i="3"/>
  <c r="AD289" i="3"/>
  <c r="U249" i="3"/>
  <c r="AD249" i="3"/>
  <c r="U233" i="3"/>
  <c r="AD233" i="3"/>
  <c r="AD322" i="3"/>
  <c r="AD306" i="3"/>
  <c r="U362" i="3"/>
  <c r="AE362" i="3"/>
  <c r="AD362" i="3"/>
  <c r="U200" i="3"/>
  <c r="U313" i="3"/>
  <c r="AD313" i="3"/>
  <c r="U308" i="3"/>
  <c r="AE308" i="3"/>
  <c r="U302" i="3"/>
  <c r="AE302" i="3"/>
  <c r="U290" i="3"/>
  <c r="AE290" i="3"/>
  <c r="U266" i="3"/>
  <c r="AE266" i="3"/>
  <c r="U259" i="3"/>
  <c r="AD259" i="3"/>
  <c r="U250" i="3"/>
  <c r="AE250" i="3"/>
  <c r="U243" i="3"/>
  <c r="AD243" i="3"/>
  <c r="U236" i="3"/>
  <c r="AE236" i="3"/>
  <c r="U227" i="3"/>
  <c r="V227" i="3" s="1"/>
  <c r="AE329" i="3"/>
  <c r="AE313" i="3"/>
  <c r="AE297" i="3"/>
  <c r="AE289" i="3"/>
  <c r="AE281" i="3"/>
  <c r="AE265" i="3"/>
  <c r="AE249" i="3"/>
  <c r="AE241" i="3"/>
  <c r="AE233" i="3"/>
  <c r="AD336" i="3"/>
  <c r="AD328" i="3"/>
  <c r="AD296" i="3"/>
  <c r="AD288" i="3"/>
  <c r="AD280" i="3"/>
  <c r="AD264" i="3"/>
  <c r="AD248" i="3"/>
  <c r="AD232" i="3"/>
  <c r="U363" i="3"/>
  <c r="AD359" i="3"/>
  <c r="AE359" i="3"/>
  <c r="AD351" i="3"/>
  <c r="AE351" i="3"/>
  <c r="U276" i="3"/>
  <c r="AE276" i="3"/>
  <c r="U240" i="3"/>
  <c r="AE240" i="3"/>
  <c r="AE275" i="3"/>
  <c r="AD282" i="3"/>
  <c r="U196" i="3"/>
  <c r="U165" i="3"/>
  <c r="U156" i="3"/>
  <c r="U148" i="3"/>
  <c r="U210" i="3"/>
  <c r="U205" i="3"/>
  <c r="U176" i="3"/>
  <c r="U162" i="3"/>
  <c r="U153" i="3"/>
  <c r="U336" i="3"/>
  <c r="U335" i="3"/>
  <c r="U334" i="3"/>
  <c r="AE334" i="3"/>
  <c r="U330" i="3"/>
  <c r="AE330" i="3"/>
  <c r="U326" i="3"/>
  <c r="U325" i="3"/>
  <c r="U324" i="3"/>
  <c r="AE324" i="3"/>
  <c r="U320" i="3"/>
  <c r="AE320" i="3"/>
  <c r="U316" i="3"/>
  <c r="U315" i="3"/>
  <c r="U314" i="3"/>
  <c r="AE314" i="3"/>
  <c r="U304" i="3"/>
  <c r="AE304" i="3"/>
  <c r="U300" i="3"/>
  <c r="U298" i="3"/>
  <c r="V297" i="3" s="1"/>
  <c r="AE298" i="3"/>
  <c r="U292" i="3"/>
  <c r="V292" i="3" s="1"/>
  <c r="AE292" i="3"/>
  <c r="U288" i="3"/>
  <c r="U286" i="3"/>
  <c r="AE286" i="3"/>
  <c r="U282" i="3"/>
  <c r="U281" i="3"/>
  <c r="U279" i="3"/>
  <c r="AD279" i="3"/>
  <c r="U275" i="3"/>
  <c r="U274" i="3"/>
  <c r="U260" i="3"/>
  <c r="AE260" i="3"/>
  <c r="U253" i="3"/>
  <c r="AD253" i="3"/>
  <c r="U248" i="3"/>
  <c r="U246" i="3"/>
  <c r="AE246" i="3"/>
  <c r="U237" i="3"/>
  <c r="AD237" i="3"/>
  <c r="U232" i="3"/>
  <c r="U229" i="3"/>
  <c r="AE335" i="3"/>
  <c r="AE319" i="3"/>
  <c r="AE303" i="3"/>
  <c r="AE295" i="3"/>
  <c r="AE279" i="3"/>
  <c r="AE271" i="3"/>
  <c r="AE263" i="3"/>
  <c r="AE255" i="3"/>
  <c r="AD334" i="3"/>
  <c r="AD326" i="3"/>
  <c r="AD318" i="3"/>
  <c r="AD310" i="3"/>
  <c r="AD302" i="3"/>
  <c r="AD286" i="3"/>
  <c r="AD278" i="3"/>
  <c r="AD262" i="3"/>
  <c r="AD254" i="3"/>
  <c r="AD246" i="3"/>
  <c r="AD238" i="3"/>
  <c r="U327" i="3"/>
  <c r="AD327" i="3"/>
  <c r="U317" i="3"/>
  <c r="AD317" i="3"/>
  <c r="U312" i="3"/>
  <c r="AE312" i="3"/>
  <c r="U283" i="3"/>
  <c r="AD283" i="3"/>
  <c r="U270" i="3"/>
  <c r="AE270" i="3"/>
  <c r="U257" i="3"/>
  <c r="AD257" i="3"/>
  <c r="AE354" i="3"/>
  <c r="AD354" i="3"/>
  <c r="U183" i="3"/>
  <c r="U333" i="3"/>
  <c r="AD333" i="3"/>
  <c r="U323" i="3"/>
  <c r="AD323" i="3"/>
  <c r="U203" i="3"/>
  <c r="V202" i="3" s="1"/>
  <c r="U194" i="3"/>
  <c r="U167" i="3"/>
  <c r="U164" i="3"/>
  <c r="U163" i="3"/>
  <c r="V162" i="3" s="1"/>
  <c r="U332" i="3"/>
  <c r="U331" i="3"/>
  <c r="V327" i="3" s="1"/>
  <c r="AD331" i="3"/>
  <c r="U322" i="3"/>
  <c r="V322" i="3" s="1"/>
  <c r="U321" i="3"/>
  <c r="AD321" i="3"/>
  <c r="U311" i="3"/>
  <c r="AD311" i="3"/>
  <c r="U307" i="3"/>
  <c r="U306" i="3"/>
  <c r="U305" i="3"/>
  <c r="AD305" i="3"/>
  <c r="U299" i="3"/>
  <c r="AD299" i="3"/>
  <c r="U294" i="3"/>
  <c r="AE294" i="3"/>
  <c r="U287" i="3"/>
  <c r="AD287" i="3"/>
  <c r="U269" i="3"/>
  <c r="AD269" i="3"/>
  <c r="U265" i="3"/>
  <c r="U264" i="3"/>
  <c r="U258" i="3"/>
  <c r="U256" i="3"/>
  <c r="AE256" i="3"/>
  <c r="U247" i="3"/>
  <c r="V247" i="3" s="1"/>
  <c r="AD247" i="3"/>
  <c r="U242" i="3"/>
  <c r="U241" i="3"/>
  <c r="U239" i="3"/>
  <c r="AD239" i="3"/>
  <c r="U235" i="3"/>
  <c r="U234" i="3"/>
  <c r="AE333" i="3"/>
  <c r="AE325" i="3"/>
  <c r="AE317" i="3"/>
  <c r="AE309" i="3"/>
  <c r="AE301" i="3"/>
  <c r="AE293" i="3"/>
  <c r="AE285" i="3"/>
  <c r="AE277" i="3"/>
  <c r="AE269" i="3"/>
  <c r="AE261" i="3"/>
  <c r="AE253" i="3"/>
  <c r="AE245" i="3"/>
  <c r="AE237" i="3"/>
  <c r="AD332" i="3"/>
  <c r="AD324" i="3"/>
  <c r="AD316" i="3"/>
  <c r="AD308" i="3"/>
  <c r="AD300" i="3"/>
  <c r="AD292" i="3"/>
  <c r="AD284" i="3"/>
  <c r="AD276" i="3"/>
  <c r="AD268" i="3"/>
  <c r="AD260" i="3"/>
  <c r="AD252" i="3"/>
  <c r="AD244" i="3"/>
  <c r="AD236" i="3"/>
  <c r="U365" i="3"/>
  <c r="AE365" i="3"/>
  <c r="AD365" i="3"/>
  <c r="U357" i="3"/>
  <c r="AE357" i="3"/>
  <c r="AD357" i="3"/>
  <c r="U226" i="3"/>
  <c r="U358" i="3"/>
  <c r="U354" i="3"/>
  <c r="U353" i="3"/>
  <c r="U347" i="3"/>
  <c r="V347" i="3" s="1"/>
  <c r="U346" i="3"/>
  <c r="AE364" i="3"/>
  <c r="AE360" i="3"/>
  <c r="AE352" i="3"/>
  <c r="AE348" i="3"/>
  <c r="AE344" i="3"/>
  <c r="AD358" i="3"/>
  <c r="AD346" i="3"/>
  <c r="AD342" i="3"/>
  <c r="U342" i="3"/>
  <c r="V342" i="3" s="1"/>
  <c r="AD349" i="3"/>
  <c r="AE340" i="3"/>
  <c r="AD337" i="3"/>
  <c r="U366" i="3"/>
  <c r="U356" i="3"/>
  <c r="U351" i="3"/>
  <c r="U350" i="3"/>
  <c r="U344" i="3"/>
  <c r="U343" i="3"/>
  <c r="U339" i="3"/>
  <c r="V337" i="3" s="1"/>
  <c r="AE366" i="3"/>
  <c r="AE358" i="3"/>
  <c r="AE350" i="3"/>
  <c r="AE346" i="3"/>
  <c r="AD356" i="3"/>
  <c r="AE349" i="3"/>
  <c r="V362" i="3"/>
  <c r="U359" i="3"/>
  <c r="V357" i="3" s="1"/>
  <c r="V352" i="3"/>
  <c r="V282" i="3"/>
  <c r="V302" i="3"/>
  <c r="V332" i="3"/>
  <c r="V307" i="3"/>
  <c r="U280" i="3"/>
  <c r="U277" i="3"/>
  <c r="U273" i="3"/>
  <c r="V272" i="3" s="1"/>
  <c r="U267" i="3"/>
  <c r="V267" i="3" s="1"/>
  <c r="U263" i="3"/>
  <c r="V222" i="3"/>
  <c r="V232" i="3"/>
  <c r="V217" i="3"/>
  <c r="AE231" i="3"/>
  <c r="AE223" i="3"/>
  <c r="AE219" i="3"/>
  <c r="AD231" i="3"/>
  <c r="AD223" i="3"/>
  <c r="U216" i="3"/>
  <c r="U206" i="3"/>
  <c r="U191" i="3"/>
  <c r="U190" i="3"/>
  <c r="U185" i="3"/>
  <c r="U181" i="3"/>
  <c r="U180" i="3"/>
  <c r="U171" i="3"/>
  <c r="U157" i="3"/>
  <c r="U152" i="3"/>
  <c r="U147" i="3"/>
  <c r="AE230" i="3"/>
  <c r="AE226" i="3"/>
  <c r="AE222" i="3"/>
  <c r="AE218" i="3"/>
  <c r="AE214" i="3"/>
  <c r="AD230" i="3"/>
  <c r="AE229" i="3"/>
  <c r="AE225" i="3"/>
  <c r="AE221" i="3"/>
  <c r="AE217" i="3"/>
  <c r="AE213" i="3"/>
  <c r="AD229" i="3"/>
  <c r="AD217" i="3"/>
  <c r="U214" i="3"/>
  <c r="U213" i="3"/>
  <c r="U197" i="3"/>
  <c r="U192" i="3"/>
  <c r="V192" i="3" s="1"/>
  <c r="U188" i="3"/>
  <c r="U184" i="3"/>
  <c r="U182" i="3"/>
  <c r="U177" i="3"/>
  <c r="U172" i="3"/>
  <c r="U166" i="3"/>
  <c r="U161" i="3"/>
  <c r="U160" i="3"/>
  <c r="U151" i="3"/>
  <c r="AE228" i="3"/>
  <c r="AE224" i="3"/>
  <c r="AE220" i="3"/>
  <c r="AE216" i="3"/>
  <c r="AE212" i="3"/>
  <c r="AD224" i="3"/>
  <c r="AD220" i="3"/>
  <c r="AD216" i="3"/>
  <c r="AD212" i="3"/>
  <c r="U199" i="3"/>
  <c r="V197" i="3" s="1"/>
  <c r="U179" i="3"/>
  <c r="U159" i="3"/>
  <c r="U209" i="3"/>
  <c r="U189" i="3"/>
  <c r="U169" i="3"/>
  <c r="U149" i="3"/>
  <c r="AC207" i="3"/>
  <c r="AC208" i="3"/>
  <c r="AC209" i="3"/>
  <c r="AC210" i="3"/>
  <c r="AC211" i="3"/>
  <c r="AD211" i="3"/>
  <c r="AE210" i="3"/>
  <c r="AD208" i="3"/>
  <c r="AD207" i="3"/>
  <c r="AC202" i="3"/>
  <c r="AC203" i="3"/>
  <c r="AC204" i="3"/>
  <c r="AC205" i="3"/>
  <c r="AC206" i="3"/>
  <c r="AD205" i="3"/>
  <c r="AD206" i="3"/>
  <c r="AE205" i="3"/>
  <c r="AE206" i="3"/>
  <c r="AD203" i="3"/>
  <c r="AE202" i="3"/>
  <c r="AC197" i="3"/>
  <c r="AC198" i="3"/>
  <c r="AC199" i="3"/>
  <c r="AC200" i="3"/>
  <c r="AC201" i="3"/>
  <c r="AD201" i="3"/>
  <c r="AE200" i="3"/>
  <c r="AD198" i="3"/>
  <c r="AD197" i="3"/>
  <c r="AC192" i="3"/>
  <c r="AC193" i="3"/>
  <c r="AC194" i="3"/>
  <c r="AC195" i="3"/>
  <c r="AC196" i="3"/>
  <c r="AD195" i="3"/>
  <c r="AD196" i="3"/>
  <c r="AE195" i="3"/>
  <c r="AE196" i="3"/>
  <c r="AD193" i="3"/>
  <c r="AE192" i="3"/>
  <c r="AC187" i="3"/>
  <c r="AC188" i="3"/>
  <c r="AC189" i="3"/>
  <c r="AC190" i="3"/>
  <c r="AC191" i="3"/>
  <c r="AD191" i="3"/>
  <c r="AE190" i="3"/>
  <c r="AD188" i="3"/>
  <c r="AD187" i="3"/>
  <c r="AC182" i="3"/>
  <c r="AC183" i="3"/>
  <c r="AC184" i="3"/>
  <c r="AC185" i="3"/>
  <c r="AC186" i="3"/>
  <c r="AD182" i="3"/>
  <c r="AD185" i="3"/>
  <c r="AD186" i="3"/>
  <c r="AE185" i="3"/>
  <c r="AE186" i="3"/>
  <c r="AD183" i="3"/>
  <c r="AE182" i="3"/>
  <c r="AC177" i="3"/>
  <c r="AC178" i="3"/>
  <c r="AC179" i="3"/>
  <c r="AC180" i="3"/>
  <c r="AC181" i="3"/>
  <c r="AD181" i="3"/>
  <c r="AE180" i="3"/>
  <c r="AD178" i="3"/>
  <c r="AD177" i="3"/>
  <c r="V287" i="3" l="1"/>
  <c r="V257" i="3"/>
  <c r="V262" i="3"/>
  <c r="V207" i="3"/>
  <c r="V182" i="3"/>
  <c r="V312" i="3"/>
  <c r="V252" i="3"/>
  <c r="V242" i="3"/>
  <c r="V167" i="3"/>
  <c r="V177" i="3"/>
  <c r="V172" i="3"/>
  <c r="V212" i="3"/>
  <c r="V152" i="3"/>
  <c r="V277" i="3"/>
  <c r="V317" i="3"/>
  <c r="V237" i="3"/>
  <c r="V187" i="3"/>
  <c r="V147" i="3"/>
  <c r="V157" i="3"/>
  <c r="AD202" i="3"/>
  <c r="AD192" i="3"/>
  <c r="AE209" i="3"/>
  <c r="AD210" i="3"/>
  <c r="AE208" i="3"/>
  <c r="AD209" i="3"/>
  <c r="AE211" i="3"/>
  <c r="AE207" i="3"/>
  <c r="AE203" i="3"/>
  <c r="AD204" i="3"/>
  <c r="AE204" i="3"/>
  <c r="AE199" i="3"/>
  <c r="AD200" i="3"/>
  <c r="AE198" i="3"/>
  <c r="AD199" i="3"/>
  <c r="AE201" i="3"/>
  <c r="AE197" i="3"/>
  <c r="AE194" i="3"/>
  <c r="AE193" i="3"/>
  <c r="AD194" i="3"/>
  <c r="AE189" i="3"/>
  <c r="AD190" i="3"/>
  <c r="AE188" i="3"/>
  <c r="AD189" i="3"/>
  <c r="AE191" i="3"/>
  <c r="AE187" i="3"/>
  <c r="AE184" i="3"/>
  <c r="AE183" i="3"/>
  <c r="AD184" i="3"/>
  <c r="AE179" i="3"/>
  <c r="AD180" i="3"/>
  <c r="AE178" i="3"/>
  <c r="AD179" i="3"/>
  <c r="AE181" i="3"/>
  <c r="AE177" i="3"/>
  <c r="AD163" i="3"/>
  <c r="AD165" i="3"/>
  <c r="AE169" i="3"/>
  <c r="AE173" i="3"/>
  <c r="AD175" i="3"/>
  <c r="AD162" i="3"/>
  <c r="AD173" i="3"/>
  <c r="AC172" i="3"/>
  <c r="AC173" i="3"/>
  <c r="AC174" i="3"/>
  <c r="AC175" i="3"/>
  <c r="AC176" i="3"/>
  <c r="AD172" i="3"/>
  <c r="AD174" i="3"/>
  <c r="AD176" i="3"/>
  <c r="AE172" i="3"/>
  <c r="AE174" i="3"/>
  <c r="AE176" i="3"/>
  <c r="AC167" i="3"/>
  <c r="AC168" i="3"/>
  <c r="AC169" i="3"/>
  <c r="AC170" i="3"/>
  <c r="AC171" i="3"/>
  <c r="AD167" i="3"/>
  <c r="AD170" i="3"/>
  <c r="AD171" i="3"/>
  <c r="AE168" i="3"/>
  <c r="AE170" i="3"/>
  <c r="AC162" i="3"/>
  <c r="AC163" i="3"/>
  <c r="AC164" i="3"/>
  <c r="AC165" i="3"/>
  <c r="AC166" i="3"/>
  <c r="AD164" i="3"/>
  <c r="AD166" i="3"/>
  <c r="AE164" i="3"/>
  <c r="AE166" i="3"/>
  <c r="AE163" i="3" l="1"/>
  <c r="AE171" i="3"/>
  <c r="AE167" i="3"/>
  <c r="AE175" i="3"/>
  <c r="AE165" i="3"/>
  <c r="AE162" i="3"/>
  <c r="AD169" i="3"/>
  <c r="AD168" i="3"/>
  <c r="P133" i="3"/>
  <c r="P132" i="3"/>
  <c r="P128" i="3"/>
  <c r="P127" i="3"/>
  <c r="P125" i="3"/>
  <c r="P124" i="3"/>
  <c r="P123" i="3"/>
  <c r="P122" i="3"/>
  <c r="P137" i="3"/>
  <c r="P142" i="3"/>
  <c r="P111" i="3" l="1"/>
  <c r="P110" i="3"/>
  <c r="P109" i="3"/>
  <c r="P108" i="3"/>
  <c r="P107" i="3"/>
  <c r="P104" i="3"/>
  <c r="P103" i="3"/>
  <c r="P102" i="3"/>
  <c r="P101" i="3"/>
  <c r="P100" i="3"/>
  <c r="P99" i="3"/>
  <c r="P98" i="3"/>
  <c r="P97" i="3"/>
  <c r="P72" i="3"/>
  <c r="P70" i="3"/>
  <c r="P69" i="3"/>
  <c r="P68" i="3"/>
  <c r="P67" i="3"/>
  <c r="P62" i="3"/>
  <c r="P60" i="3"/>
  <c r="P59" i="3"/>
  <c r="P58" i="3"/>
  <c r="P57" i="3"/>
  <c r="P53" i="3"/>
  <c r="P52" i="3"/>
  <c r="P37" i="3"/>
  <c r="P27" i="3"/>
  <c r="P2" i="3"/>
  <c r="P23" i="3"/>
  <c r="P22" i="3" l="1"/>
  <c r="P17" i="3"/>
  <c r="AC157" i="3"/>
  <c r="AC158" i="3"/>
  <c r="AC159" i="3"/>
  <c r="AC160" i="3"/>
  <c r="AC161" i="3"/>
  <c r="AE159" i="3"/>
  <c r="AE161" i="3"/>
  <c r="AD161" i="3"/>
  <c r="AE160" i="3"/>
  <c r="AD159" i="3"/>
  <c r="AD158" i="3"/>
  <c r="AD157" i="3"/>
  <c r="AC152" i="3"/>
  <c r="AC153" i="3"/>
  <c r="AC154" i="3"/>
  <c r="AC155" i="3"/>
  <c r="AC156" i="3"/>
  <c r="AD156" i="3"/>
  <c r="AD155" i="3"/>
  <c r="AE154" i="3"/>
  <c r="AD153" i="3"/>
  <c r="AD152" i="3"/>
  <c r="M6" i="3"/>
  <c r="L6" i="3"/>
  <c r="M3" i="3"/>
  <c r="M2" i="3"/>
  <c r="U2" i="3" s="1"/>
  <c r="L2" i="3"/>
  <c r="P3" i="3"/>
  <c r="P4" i="3"/>
  <c r="P5" i="3"/>
  <c r="P6" i="3"/>
  <c r="P7" i="3"/>
  <c r="P8" i="3"/>
  <c r="P9" i="3"/>
  <c r="P10" i="3"/>
  <c r="P11" i="3"/>
  <c r="P12" i="3"/>
  <c r="P13" i="3"/>
  <c r="P14" i="3"/>
  <c r="P15" i="3"/>
  <c r="P16" i="3"/>
  <c r="P18" i="3"/>
  <c r="P19" i="3"/>
  <c r="P20" i="3"/>
  <c r="P21" i="3"/>
  <c r="P24" i="3"/>
  <c r="P25" i="3"/>
  <c r="P26" i="3"/>
  <c r="P28" i="3"/>
  <c r="P29" i="3"/>
  <c r="P30" i="3"/>
  <c r="P31" i="3"/>
  <c r="P32" i="3"/>
  <c r="P33" i="3"/>
  <c r="P34" i="3"/>
  <c r="P35" i="3"/>
  <c r="P36" i="3"/>
  <c r="P38" i="3"/>
  <c r="P39" i="3"/>
  <c r="P40" i="3"/>
  <c r="P41" i="3"/>
  <c r="P42" i="3"/>
  <c r="P43" i="3"/>
  <c r="P44" i="3"/>
  <c r="P45" i="3"/>
  <c r="P46" i="3"/>
  <c r="P47" i="3"/>
  <c r="P48" i="3"/>
  <c r="P49" i="3"/>
  <c r="P50" i="3"/>
  <c r="P51" i="3"/>
  <c r="P54" i="3"/>
  <c r="P55" i="3"/>
  <c r="P56" i="3"/>
  <c r="P61" i="3"/>
  <c r="P63" i="3"/>
  <c r="P64" i="3"/>
  <c r="P65" i="3"/>
  <c r="P66" i="3"/>
  <c r="P71" i="3"/>
  <c r="P73" i="3"/>
  <c r="P74" i="3"/>
  <c r="P75" i="3"/>
  <c r="P76" i="3"/>
  <c r="P77" i="3"/>
  <c r="P78" i="3"/>
  <c r="P79" i="3"/>
  <c r="P80" i="3"/>
  <c r="P81" i="3"/>
  <c r="P82" i="3"/>
  <c r="P83" i="3"/>
  <c r="P84" i="3"/>
  <c r="P85" i="3"/>
  <c r="P86" i="3"/>
  <c r="P87" i="3"/>
  <c r="P88" i="3"/>
  <c r="P89" i="3"/>
  <c r="P90" i="3"/>
  <c r="P91" i="3"/>
  <c r="P92" i="3"/>
  <c r="P93" i="3"/>
  <c r="P94" i="3"/>
  <c r="P95" i="3"/>
  <c r="P96" i="3"/>
  <c r="P105" i="3"/>
  <c r="P106" i="3"/>
  <c r="P112" i="3"/>
  <c r="P113" i="3"/>
  <c r="P114" i="3"/>
  <c r="P115" i="3"/>
  <c r="P116" i="3"/>
  <c r="P117" i="3"/>
  <c r="P118" i="3"/>
  <c r="P119" i="3"/>
  <c r="P120" i="3"/>
  <c r="P121" i="3"/>
  <c r="P126" i="3"/>
  <c r="P129" i="3"/>
  <c r="P130" i="3"/>
  <c r="P131" i="3"/>
  <c r="P134" i="3"/>
  <c r="P135" i="3"/>
  <c r="P136" i="3"/>
  <c r="P138" i="3"/>
  <c r="P139" i="3"/>
  <c r="P140" i="3"/>
  <c r="P141" i="3"/>
  <c r="P143" i="3"/>
  <c r="P144" i="3"/>
  <c r="P145" i="3"/>
  <c r="P146" i="3"/>
  <c r="AD160" i="3" l="1"/>
  <c r="AE158" i="3"/>
  <c r="AE157" i="3"/>
  <c r="AE153" i="3"/>
  <c r="AD154" i="3"/>
  <c r="AE156" i="3"/>
  <c r="AE152" i="3"/>
  <c r="AE155" i="3"/>
  <c r="L38" i="3" l="1"/>
  <c r="M38" i="3"/>
  <c r="AC151" i="3" l="1"/>
  <c r="AC150" i="3"/>
  <c r="AC149" i="3"/>
  <c r="AC148" i="3"/>
  <c r="AC147" i="3"/>
  <c r="AD147" i="3"/>
  <c r="AD148" i="3"/>
  <c r="AE149" i="3"/>
  <c r="AE150" i="3"/>
  <c r="AD151" i="3"/>
  <c r="AE148" i="3" l="1"/>
  <c r="AF147" i="3"/>
  <c r="AE147" i="3"/>
  <c r="AD150" i="3"/>
  <c r="AE151" i="3"/>
  <c r="AD149" i="3"/>
  <c r="AC146" i="3"/>
  <c r="M146" i="3"/>
  <c r="L146" i="3"/>
  <c r="AC145" i="3"/>
  <c r="M145" i="3"/>
  <c r="L145" i="3"/>
  <c r="AC144" i="3"/>
  <c r="M144" i="3"/>
  <c r="AD144" i="3" s="1"/>
  <c r="L144" i="3"/>
  <c r="AC143" i="3"/>
  <c r="M143" i="3"/>
  <c r="L143" i="3"/>
  <c r="AC142" i="3"/>
  <c r="M142" i="3"/>
  <c r="AE142" i="3" s="1"/>
  <c r="L142" i="3"/>
  <c r="AC141" i="3"/>
  <c r="M141" i="3"/>
  <c r="L141" i="3"/>
  <c r="AC140" i="3"/>
  <c r="M140" i="3"/>
  <c r="L140" i="3"/>
  <c r="AC139" i="3"/>
  <c r="M139" i="3"/>
  <c r="AD139" i="3" s="1"/>
  <c r="L139" i="3"/>
  <c r="AC138" i="3"/>
  <c r="M138" i="3"/>
  <c r="L138" i="3"/>
  <c r="AC137" i="3"/>
  <c r="M137" i="3"/>
  <c r="AE137" i="3" s="1"/>
  <c r="L137" i="3"/>
  <c r="AC136" i="3"/>
  <c r="M136" i="3"/>
  <c r="L136" i="3"/>
  <c r="AC135" i="3"/>
  <c r="M135" i="3"/>
  <c r="AE135" i="3" s="1"/>
  <c r="L135" i="3"/>
  <c r="AC134" i="3"/>
  <c r="M134" i="3"/>
  <c r="AE134" i="3" s="1"/>
  <c r="L134" i="3"/>
  <c r="AC133" i="3"/>
  <c r="M133" i="3"/>
  <c r="L133" i="3"/>
  <c r="AC132" i="3"/>
  <c r="M132" i="3"/>
  <c r="AE132" i="3" s="1"/>
  <c r="L132" i="3"/>
  <c r="AC131" i="3"/>
  <c r="M131" i="3"/>
  <c r="L131" i="3"/>
  <c r="AC130" i="3"/>
  <c r="M130" i="3"/>
  <c r="L130" i="3"/>
  <c r="AC129" i="3"/>
  <c r="M129" i="3"/>
  <c r="AD129" i="3" s="1"/>
  <c r="L129" i="3"/>
  <c r="AC128" i="3"/>
  <c r="M128" i="3"/>
  <c r="L128" i="3"/>
  <c r="AC127" i="3"/>
  <c r="M127" i="3"/>
  <c r="AE127" i="3" s="1"/>
  <c r="L127" i="3"/>
  <c r="AC126" i="3"/>
  <c r="M126" i="3"/>
  <c r="AD126" i="3" s="1"/>
  <c r="L126" i="3"/>
  <c r="AC125" i="3"/>
  <c r="M125" i="3"/>
  <c r="AD125" i="3" s="1"/>
  <c r="L125" i="3"/>
  <c r="AC124" i="3"/>
  <c r="M124" i="3"/>
  <c r="AD124" i="3" s="1"/>
  <c r="L124" i="3"/>
  <c r="AC123" i="3"/>
  <c r="M123" i="3"/>
  <c r="L123" i="3"/>
  <c r="AC122" i="3"/>
  <c r="M122" i="3"/>
  <c r="AE122" i="3" s="1"/>
  <c r="L122" i="3"/>
  <c r="AC121" i="3"/>
  <c r="M121" i="3"/>
  <c r="L121" i="3"/>
  <c r="AC120" i="3"/>
  <c r="M120" i="3"/>
  <c r="L120" i="3"/>
  <c r="AC119" i="3"/>
  <c r="M119" i="3"/>
  <c r="AD119" i="3" s="1"/>
  <c r="L119" i="3"/>
  <c r="AC118" i="3"/>
  <c r="M118" i="3"/>
  <c r="AD118" i="3" s="1"/>
  <c r="L118" i="3"/>
  <c r="AC117" i="3"/>
  <c r="M117" i="3"/>
  <c r="AE117" i="3" s="1"/>
  <c r="L117" i="3"/>
  <c r="AC116" i="3"/>
  <c r="M116" i="3"/>
  <c r="L116" i="3"/>
  <c r="AC115" i="3"/>
  <c r="M115" i="3"/>
  <c r="L115" i="3"/>
  <c r="AC114" i="3"/>
  <c r="M114" i="3"/>
  <c r="AD114" i="3" s="1"/>
  <c r="L114" i="3"/>
  <c r="AC113" i="3"/>
  <c r="M113" i="3"/>
  <c r="L113" i="3"/>
  <c r="AC112" i="3"/>
  <c r="M112" i="3"/>
  <c r="AE112" i="3" s="1"/>
  <c r="L112" i="3"/>
  <c r="AC111" i="3"/>
  <c r="M111" i="3"/>
  <c r="AD111" i="3" s="1"/>
  <c r="L111" i="3"/>
  <c r="AC110" i="3"/>
  <c r="M110" i="3"/>
  <c r="AE110" i="3" s="1"/>
  <c r="L110" i="3"/>
  <c r="AC109" i="3"/>
  <c r="M109" i="3"/>
  <c r="AE109" i="3" s="1"/>
  <c r="L109" i="3"/>
  <c r="AC108" i="3"/>
  <c r="M108" i="3"/>
  <c r="AE108" i="3" s="1"/>
  <c r="L108" i="3"/>
  <c r="AC107" i="3"/>
  <c r="M107" i="3"/>
  <c r="AD107" i="3" s="1"/>
  <c r="L107" i="3"/>
  <c r="AC106" i="3"/>
  <c r="M106" i="3"/>
  <c r="AE106" i="3" s="1"/>
  <c r="L106" i="3"/>
  <c r="AC105" i="3"/>
  <c r="M105" i="3"/>
  <c r="AE105" i="3" s="1"/>
  <c r="L105" i="3"/>
  <c r="AC104" i="3"/>
  <c r="M104" i="3"/>
  <c r="AE104" i="3" s="1"/>
  <c r="L104" i="3"/>
  <c r="AC103" i="3"/>
  <c r="M103" i="3"/>
  <c r="L103" i="3"/>
  <c r="AC102" i="3"/>
  <c r="M102" i="3"/>
  <c r="AE102" i="3" s="1"/>
  <c r="L102" i="3"/>
  <c r="AC101" i="3"/>
  <c r="M101" i="3"/>
  <c r="L101" i="3"/>
  <c r="AC100" i="3"/>
  <c r="M100" i="3"/>
  <c r="L100" i="3"/>
  <c r="AC99" i="3"/>
  <c r="M99" i="3"/>
  <c r="AD99" i="3" s="1"/>
  <c r="L99" i="3"/>
  <c r="AC98" i="3"/>
  <c r="M98" i="3"/>
  <c r="L98" i="3"/>
  <c r="AC97" i="3"/>
  <c r="M97" i="3"/>
  <c r="AE97" i="3" s="1"/>
  <c r="L97" i="3"/>
  <c r="AC96" i="3"/>
  <c r="M96" i="3"/>
  <c r="L96" i="3"/>
  <c r="AC95" i="3"/>
  <c r="M95" i="3"/>
  <c r="L95" i="3"/>
  <c r="AC94" i="3"/>
  <c r="M94" i="3"/>
  <c r="AD94" i="3" s="1"/>
  <c r="L94" i="3"/>
  <c r="AC93" i="3"/>
  <c r="M93" i="3"/>
  <c r="L93" i="3"/>
  <c r="AC92" i="3"/>
  <c r="M92" i="3"/>
  <c r="AE92" i="3" s="1"/>
  <c r="L92" i="3"/>
  <c r="AC91" i="3"/>
  <c r="M91" i="3"/>
  <c r="L91" i="3"/>
  <c r="AC90" i="3"/>
  <c r="M90" i="3"/>
  <c r="L90" i="3"/>
  <c r="AC89" i="3"/>
  <c r="M89" i="3"/>
  <c r="AD89" i="3" s="1"/>
  <c r="L89" i="3"/>
  <c r="AC88" i="3"/>
  <c r="M88" i="3"/>
  <c r="L88" i="3"/>
  <c r="AC87" i="3"/>
  <c r="M87" i="3"/>
  <c r="AE87" i="3" s="1"/>
  <c r="L87" i="3"/>
  <c r="AC86" i="3"/>
  <c r="M86" i="3"/>
  <c r="L86" i="3"/>
  <c r="AC85" i="3"/>
  <c r="M85" i="3"/>
  <c r="L85" i="3"/>
  <c r="AC84" i="3"/>
  <c r="M84" i="3"/>
  <c r="AD84" i="3" s="1"/>
  <c r="L84" i="3"/>
  <c r="AC83" i="3"/>
  <c r="M83" i="3"/>
  <c r="L83" i="3"/>
  <c r="AC82" i="3"/>
  <c r="M82" i="3"/>
  <c r="AE82" i="3" s="1"/>
  <c r="L82" i="3"/>
  <c r="AC81" i="3"/>
  <c r="M81" i="3"/>
  <c r="L81" i="3"/>
  <c r="AC80" i="3"/>
  <c r="M80" i="3"/>
  <c r="L80" i="3"/>
  <c r="AC79" i="3"/>
  <c r="M79" i="3"/>
  <c r="AD79" i="3" s="1"/>
  <c r="L79" i="3"/>
  <c r="AC78" i="3"/>
  <c r="M78" i="3"/>
  <c r="L78" i="3"/>
  <c r="AC77" i="3"/>
  <c r="M77" i="3"/>
  <c r="AE77" i="3" s="1"/>
  <c r="L77" i="3"/>
  <c r="AC76" i="3"/>
  <c r="M76" i="3"/>
  <c r="L76" i="3"/>
  <c r="AC75" i="3"/>
  <c r="M75" i="3"/>
  <c r="L75" i="3"/>
  <c r="AC74" i="3"/>
  <c r="M74" i="3"/>
  <c r="AD74" i="3" s="1"/>
  <c r="L74" i="3"/>
  <c r="AC73" i="3"/>
  <c r="M73" i="3"/>
  <c r="L73" i="3"/>
  <c r="AC72" i="3"/>
  <c r="M72" i="3"/>
  <c r="AE72" i="3" s="1"/>
  <c r="L72" i="3"/>
  <c r="AC71" i="3"/>
  <c r="M71" i="3"/>
  <c r="L71" i="3"/>
  <c r="AC70" i="3"/>
  <c r="M70" i="3"/>
  <c r="L70" i="3"/>
  <c r="AC69" i="3"/>
  <c r="M69" i="3"/>
  <c r="AD69" i="3" s="1"/>
  <c r="L69" i="3"/>
  <c r="AC68" i="3"/>
  <c r="M68" i="3"/>
  <c r="L68" i="3"/>
  <c r="AC67" i="3"/>
  <c r="M67" i="3"/>
  <c r="AE67" i="3" s="1"/>
  <c r="L67" i="3"/>
  <c r="AC66" i="3"/>
  <c r="M66" i="3"/>
  <c r="L66" i="3"/>
  <c r="AC65" i="3"/>
  <c r="M65" i="3"/>
  <c r="L65" i="3"/>
  <c r="AC64" i="3"/>
  <c r="M64" i="3"/>
  <c r="AD64" i="3" s="1"/>
  <c r="L64" i="3"/>
  <c r="AC63" i="3"/>
  <c r="M63" i="3"/>
  <c r="L63" i="3"/>
  <c r="AC62" i="3"/>
  <c r="M62" i="3"/>
  <c r="AE62" i="3" s="1"/>
  <c r="L62" i="3"/>
  <c r="AC61" i="3"/>
  <c r="M61" i="3"/>
  <c r="L61" i="3"/>
  <c r="AC60" i="3"/>
  <c r="M60" i="3"/>
  <c r="L60" i="3"/>
  <c r="AC59" i="3"/>
  <c r="M59" i="3"/>
  <c r="AD59" i="3" s="1"/>
  <c r="L59" i="3"/>
  <c r="AC58" i="3"/>
  <c r="M58" i="3"/>
  <c r="AD58" i="3" s="1"/>
  <c r="L58" i="3"/>
  <c r="AC57" i="3"/>
  <c r="M57" i="3"/>
  <c r="AE57" i="3" s="1"/>
  <c r="L57" i="3"/>
  <c r="AC56" i="3"/>
  <c r="M56" i="3"/>
  <c r="L56" i="3"/>
  <c r="AC55" i="3"/>
  <c r="M55" i="3"/>
  <c r="L55" i="3"/>
  <c r="AC54" i="3"/>
  <c r="M54" i="3"/>
  <c r="AD54" i="3" s="1"/>
  <c r="L54" i="3"/>
  <c r="AC53" i="3"/>
  <c r="M53" i="3"/>
  <c r="L53" i="3"/>
  <c r="AC52" i="3"/>
  <c r="M52" i="3"/>
  <c r="AE52" i="3" s="1"/>
  <c r="L52" i="3"/>
  <c r="AC51" i="3"/>
  <c r="M51" i="3"/>
  <c r="L51" i="3"/>
  <c r="AC50" i="3"/>
  <c r="M50" i="3"/>
  <c r="L50" i="3"/>
  <c r="AC49" i="3"/>
  <c r="M49" i="3"/>
  <c r="AE49" i="3" s="1"/>
  <c r="L49" i="3"/>
  <c r="AC48" i="3"/>
  <c r="M48" i="3"/>
  <c r="AD48" i="3" s="1"/>
  <c r="L48" i="3"/>
  <c r="AC47" i="3"/>
  <c r="M47" i="3"/>
  <c r="AD47" i="3" s="1"/>
  <c r="L47" i="3"/>
  <c r="AC46" i="3"/>
  <c r="M46" i="3"/>
  <c r="L46" i="3"/>
  <c r="AC45" i="3"/>
  <c r="M45" i="3"/>
  <c r="L45" i="3"/>
  <c r="AC44" i="3"/>
  <c r="M44" i="3"/>
  <c r="AD44" i="3" s="1"/>
  <c r="L44" i="3"/>
  <c r="AC43" i="3"/>
  <c r="M43" i="3"/>
  <c r="L43" i="3"/>
  <c r="AC42" i="3"/>
  <c r="M42" i="3"/>
  <c r="AE42" i="3" s="1"/>
  <c r="L42" i="3"/>
  <c r="AC41" i="3"/>
  <c r="M41" i="3"/>
  <c r="L41" i="3"/>
  <c r="AC40" i="3"/>
  <c r="M40" i="3"/>
  <c r="L40" i="3"/>
  <c r="AC39" i="3"/>
  <c r="M39" i="3"/>
  <c r="AE39" i="3" s="1"/>
  <c r="L39" i="3"/>
  <c r="AC38" i="3"/>
  <c r="AE38" i="3"/>
  <c r="AC37" i="3"/>
  <c r="M37" i="3"/>
  <c r="L37" i="3"/>
  <c r="AC36" i="3"/>
  <c r="M36" i="3"/>
  <c r="L36" i="3"/>
  <c r="AC35" i="3"/>
  <c r="M35" i="3"/>
  <c r="L35" i="3"/>
  <c r="AC34" i="3"/>
  <c r="M34" i="3"/>
  <c r="AD34" i="3" s="1"/>
  <c r="L34" i="3"/>
  <c r="AC33" i="3"/>
  <c r="M33" i="3"/>
  <c r="L33" i="3"/>
  <c r="AC32" i="3"/>
  <c r="M32" i="3"/>
  <c r="AE32" i="3" s="1"/>
  <c r="L32" i="3"/>
  <c r="AC31" i="3"/>
  <c r="M31" i="3"/>
  <c r="L31" i="3"/>
  <c r="AC30" i="3"/>
  <c r="M30" i="3"/>
  <c r="L30" i="3"/>
  <c r="AC29" i="3"/>
  <c r="M29" i="3"/>
  <c r="AE29" i="3" s="1"/>
  <c r="L29" i="3"/>
  <c r="AC28" i="3"/>
  <c r="M28" i="3"/>
  <c r="L28" i="3"/>
  <c r="AC27" i="3"/>
  <c r="M27" i="3"/>
  <c r="AE27" i="3" s="1"/>
  <c r="L27" i="3"/>
  <c r="AC26" i="3"/>
  <c r="M26" i="3"/>
  <c r="L26" i="3"/>
  <c r="AC25" i="3"/>
  <c r="M25" i="3"/>
  <c r="L25" i="3"/>
  <c r="AC24" i="3"/>
  <c r="M24" i="3"/>
  <c r="AD24" i="3" s="1"/>
  <c r="L24" i="3"/>
  <c r="AC23" i="3"/>
  <c r="M23" i="3"/>
  <c r="AD23" i="3" s="1"/>
  <c r="L23" i="3"/>
  <c r="AC22" i="3"/>
  <c r="M22" i="3"/>
  <c r="AE22" i="3" s="1"/>
  <c r="L22" i="3"/>
  <c r="AC21" i="3"/>
  <c r="M21" i="3"/>
  <c r="L21" i="3"/>
  <c r="AC20" i="3"/>
  <c r="M20" i="3"/>
  <c r="L20" i="3"/>
  <c r="AC19" i="3"/>
  <c r="M19" i="3"/>
  <c r="AD19" i="3" s="1"/>
  <c r="L19" i="3"/>
  <c r="AC18" i="3"/>
  <c r="M18" i="3"/>
  <c r="L18" i="3"/>
  <c r="AC17" i="3"/>
  <c r="M17" i="3"/>
  <c r="AE17" i="3" s="1"/>
  <c r="L17" i="3"/>
  <c r="L12" i="3"/>
  <c r="M12" i="3"/>
  <c r="AC12" i="3"/>
  <c r="L13" i="3"/>
  <c r="M13" i="3"/>
  <c r="AC13" i="3"/>
  <c r="L14" i="3"/>
  <c r="M14" i="3"/>
  <c r="AD14" i="3" s="1"/>
  <c r="AC14" i="3"/>
  <c r="L15" i="3"/>
  <c r="M15" i="3"/>
  <c r="AD15" i="3" s="1"/>
  <c r="AC15" i="3"/>
  <c r="L16" i="3"/>
  <c r="M16" i="3"/>
  <c r="AC16" i="3"/>
  <c r="Z147" i="3" l="1"/>
  <c r="Y147" i="3"/>
  <c r="AF22" i="3"/>
  <c r="Z22" i="3" s="1"/>
  <c r="AF92" i="3"/>
  <c r="AF62" i="3"/>
  <c r="AF122" i="3"/>
  <c r="AF142" i="3"/>
  <c r="Y92" i="3"/>
  <c r="Z92" i="3"/>
  <c r="AF132" i="3"/>
  <c r="AD37" i="3"/>
  <c r="U37" i="3"/>
  <c r="U94" i="3"/>
  <c r="U114" i="3"/>
  <c r="U75" i="3"/>
  <c r="U76" i="3"/>
  <c r="AF42" i="3"/>
  <c r="AE14" i="3"/>
  <c r="AF151" i="3"/>
  <c r="AB147" i="3" s="1"/>
  <c r="AF150" i="3"/>
  <c r="U78" i="3"/>
  <c r="U54" i="3"/>
  <c r="U136" i="3"/>
  <c r="U138" i="3"/>
  <c r="U140" i="3"/>
  <c r="U141" i="3"/>
  <c r="U143" i="3"/>
  <c r="U145" i="3"/>
  <c r="U146" i="3"/>
  <c r="U16" i="3"/>
  <c r="AE119" i="3"/>
  <c r="AE16" i="3"/>
  <c r="AE15" i="3"/>
  <c r="U12" i="3"/>
  <c r="U25" i="3"/>
  <c r="U26" i="3"/>
  <c r="U28" i="3"/>
  <c r="U50" i="3"/>
  <c r="U51" i="3"/>
  <c r="AE59" i="3"/>
  <c r="AF82" i="3"/>
  <c r="U84" i="3"/>
  <c r="AE129" i="3"/>
  <c r="AF17" i="3"/>
  <c r="U23" i="3"/>
  <c r="U40" i="3"/>
  <c r="U41" i="3"/>
  <c r="AF52" i="3"/>
  <c r="AF57" i="3"/>
  <c r="U65" i="3"/>
  <c r="U66" i="3"/>
  <c r="U68" i="3"/>
  <c r="AF102" i="3"/>
  <c r="U104" i="3"/>
  <c r="AD16" i="3"/>
  <c r="U34" i="3"/>
  <c r="U64" i="3"/>
  <c r="AF12" i="3"/>
  <c r="U18" i="3"/>
  <c r="U44" i="3"/>
  <c r="AF72" i="3"/>
  <c r="U74" i="3"/>
  <c r="U85" i="3"/>
  <c r="U86" i="3"/>
  <c r="U88" i="3"/>
  <c r="U95" i="3"/>
  <c r="U96" i="3"/>
  <c r="U98" i="3"/>
  <c r="AF117" i="3"/>
  <c r="U128" i="3"/>
  <c r="U124" i="3"/>
  <c r="AE69" i="3"/>
  <c r="AE79" i="3"/>
  <c r="AE89" i="3"/>
  <c r="AE99" i="3"/>
  <c r="U15" i="3"/>
  <c r="U19" i="3"/>
  <c r="U20" i="3"/>
  <c r="U21" i="3"/>
  <c r="AE23" i="3"/>
  <c r="U30" i="3"/>
  <c r="U31" i="3"/>
  <c r="U33" i="3"/>
  <c r="AE34" i="3"/>
  <c r="AF37" i="3"/>
  <c r="U39" i="3"/>
  <c r="U43" i="3"/>
  <c r="AE44" i="3"/>
  <c r="AF47" i="3"/>
  <c r="U49" i="3"/>
  <c r="U53" i="3"/>
  <c r="AE54" i="3"/>
  <c r="U58" i="3"/>
  <c r="U113" i="3"/>
  <c r="AE114" i="3"/>
  <c r="U118" i="3"/>
  <c r="AF137" i="3"/>
  <c r="U139" i="3"/>
  <c r="AE144" i="3"/>
  <c r="U14" i="3"/>
  <c r="AE24" i="3"/>
  <c r="AF27" i="3"/>
  <c r="U29" i="3"/>
  <c r="U60" i="3"/>
  <c r="U61" i="3"/>
  <c r="U63" i="3"/>
  <c r="AE64" i="3"/>
  <c r="AF67" i="3"/>
  <c r="U69" i="3"/>
  <c r="U70" i="3"/>
  <c r="U71" i="3"/>
  <c r="U73" i="3"/>
  <c r="AE74" i="3"/>
  <c r="AF77" i="3"/>
  <c r="U79" i="3"/>
  <c r="U80" i="3"/>
  <c r="U81" i="3"/>
  <c r="U83" i="3"/>
  <c r="AE84" i="3"/>
  <c r="AF87" i="3"/>
  <c r="U89" i="3"/>
  <c r="U90" i="3"/>
  <c r="U91" i="3"/>
  <c r="AE94" i="3"/>
  <c r="AF97" i="3"/>
  <c r="U99" i="3"/>
  <c r="U100" i="3"/>
  <c r="U101" i="3"/>
  <c r="U103" i="3"/>
  <c r="AD104" i="3"/>
  <c r="AF107" i="3"/>
  <c r="U109" i="3"/>
  <c r="U120" i="3"/>
  <c r="U121" i="3"/>
  <c r="U123" i="3"/>
  <c r="AE124" i="3"/>
  <c r="AF127" i="3"/>
  <c r="U129" i="3"/>
  <c r="U130" i="3"/>
  <c r="U131" i="3"/>
  <c r="U133" i="3"/>
  <c r="AE19" i="3"/>
  <c r="AF32" i="3"/>
  <c r="U35" i="3"/>
  <c r="U36" i="3"/>
  <c r="U45" i="3"/>
  <c r="U46" i="3"/>
  <c r="U55" i="3"/>
  <c r="U56" i="3"/>
  <c r="AE58" i="3"/>
  <c r="U93" i="3"/>
  <c r="AF112" i="3"/>
  <c r="U115" i="3"/>
  <c r="U116" i="3"/>
  <c r="AE118" i="3"/>
  <c r="AE139" i="3"/>
  <c r="U144" i="3"/>
  <c r="U134" i="3"/>
  <c r="U13" i="3"/>
  <c r="AE13" i="3"/>
  <c r="AD13" i="3"/>
  <c r="AD12" i="3"/>
  <c r="AD143" i="3"/>
  <c r="AD145" i="3"/>
  <c r="AD146" i="3"/>
  <c r="AD142" i="3"/>
  <c r="AE143" i="3"/>
  <c r="AE145" i="3"/>
  <c r="AE146" i="3"/>
  <c r="AG150" i="3" s="1"/>
  <c r="U142" i="3"/>
  <c r="AD138" i="3"/>
  <c r="AD140" i="3"/>
  <c r="AD141" i="3"/>
  <c r="AD137" i="3"/>
  <c r="AE138" i="3"/>
  <c r="AE140" i="3"/>
  <c r="AE141" i="3"/>
  <c r="U137" i="3"/>
  <c r="AD132" i="3"/>
  <c r="U135" i="3"/>
  <c r="AD133" i="3"/>
  <c r="AD135" i="3"/>
  <c r="AD136" i="3"/>
  <c r="AE133" i="3"/>
  <c r="AE136" i="3"/>
  <c r="U132" i="3"/>
  <c r="AD134" i="3"/>
  <c r="AD128" i="3"/>
  <c r="AD127" i="3"/>
  <c r="AE128" i="3"/>
  <c r="AE130" i="3"/>
  <c r="AE131" i="3"/>
  <c r="AD130" i="3"/>
  <c r="AD131" i="3"/>
  <c r="U127" i="3"/>
  <c r="AD123" i="3"/>
  <c r="AD122" i="3"/>
  <c r="AE123" i="3"/>
  <c r="AE125" i="3"/>
  <c r="AE126" i="3"/>
  <c r="U122" i="3"/>
  <c r="U125" i="3"/>
  <c r="U126" i="3"/>
  <c r="U119" i="3"/>
  <c r="AD120" i="3"/>
  <c r="AD121" i="3"/>
  <c r="AD117" i="3"/>
  <c r="AE120" i="3"/>
  <c r="AE121" i="3"/>
  <c r="U117" i="3"/>
  <c r="AD113" i="3"/>
  <c r="AD115" i="3"/>
  <c r="AD116" i="3"/>
  <c r="AD112" i="3"/>
  <c r="AE113" i="3"/>
  <c r="AE115" i="3"/>
  <c r="AE116" i="3"/>
  <c r="U112" i="3"/>
  <c r="AD108" i="3"/>
  <c r="AE111" i="3"/>
  <c r="U107" i="3"/>
  <c r="AE107" i="3"/>
  <c r="U108" i="3"/>
  <c r="AD109" i="3"/>
  <c r="U110" i="3"/>
  <c r="U111" i="3"/>
  <c r="AD110" i="3"/>
  <c r="AE103" i="3"/>
  <c r="U105" i="3"/>
  <c r="U106" i="3"/>
  <c r="AD103" i="3"/>
  <c r="AD105" i="3"/>
  <c r="AD106" i="3"/>
  <c r="AD102" i="3"/>
  <c r="U102" i="3"/>
  <c r="AD97" i="3"/>
  <c r="AE98" i="3"/>
  <c r="AE100" i="3"/>
  <c r="AE101" i="3"/>
  <c r="AD98" i="3"/>
  <c r="AD100" i="3"/>
  <c r="AD101" i="3"/>
  <c r="U97" i="3"/>
  <c r="AD92" i="3"/>
  <c r="AE93" i="3"/>
  <c r="AE95" i="3"/>
  <c r="AE96" i="3"/>
  <c r="AD93" i="3"/>
  <c r="AD95" i="3"/>
  <c r="AD96" i="3"/>
  <c r="U92" i="3"/>
  <c r="AD88" i="3"/>
  <c r="AD87" i="3"/>
  <c r="AE88" i="3"/>
  <c r="AE90" i="3"/>
  <c r="AE91" i="3"/>
  <c r="AD90" i="3"/>
  <c r="AD91" i="3"/>
  <c r="U87" i="3"/>
  <c r="AD82" i="3"/>
  <c r="AE83" i="3"/>
  <c r="AE85" i="3"/>
  <c r="AE86" i="3"/>
  <c r="AD83" i="3"/>
  <c r="AD85" i="3"/>
  <c r="AD86" i="3"/>
  <c r="U82" i="3"/>
  <c r="AD78" i="3"/>
  <c r="AD77" i="3"/>
  <c r="AE78" i="3"/>
  <c r="AE80" i="3"/>
  <c r="AE81" i="3"/>
  <c r="AD80" i="3"/>
  <c r="AD81" i="3"/>
  <c r="U77" i="3"/>
  <c r="AD72" i="3"/>
  <c r="AE73" i="3"/>
  <c r="AE75" i="3"/>
  <c r="AE76" i="3"/>
  <c r="AD73" i="3"/>
  <c r="AD75" i="3"/>
  <c r="AD76" i="3"/>
  <c r="U72" i="3"/>
  <c r="AD68" i="3"/>
  <c r="AD67" i="3"/>
  <c r="AE68" i="3"/>
  <c r="AE70" i="3"/>
  <c r="AE71" i="3"/>
  <c r="AD70" i="3"/>
  <c r="AD71" i="3"/>
  <c r="U67" i="3"/>
  <c r="AD62" i="3"/>
  <c r="AE63" i="3"/>
  <c r="AE65" i="3"/>
  <c r="AE66" i="3"/>
  <c r="AD63" i="3"/>
  <c r="AD65" i="3"/>
  <c r="AD66" i="3"/>
  <c r="U62" i="3"/>
  <c r="U59" i="3"/>
  <c r="AD60" i="3"/>
  <c r="AD61" i="3"/>
  <c r="AD57" i="3"/>
  <c r="AE60" i="3"/>
  <c r="AE61" i="3"/>
  <c r="U57" i="3"/>
  <c r="AD53" i="3"/>
  <c r="AD52" i="3"/>
  <c r="AE53" i="3"/>
  <c r="AE55" i="3"/>
  <c r="AE56" i="3"/>
  <c r="AD55" i="3"/>
  <c r="AD56" i="3"/>
  <c r="U52" i="3"/>
  <c r="AD50" i="3"/>
  <c r="AD51" i="3"/>
  <c r="AE48" i="3"/>
  <c r="AE50" i="3"/>
  <c r="AE51" i="3"/>
  <c r="U47" i="3"/>
  <c r="AE47" i="3"/>
  <c r="U48" i="3"/>
  <c r="AD49" i="3"/>
  <c r="AD42" i="3"/>
  <c r="AE43" i="3"/>
  <c r="AE45" i="3"/>
  <c r="AE46" i="3"/>
  <c r="AD43" i="3"/>
  <c r="AD45" i="3"/>
  <c r="AD46" i="3"/>
  <c r="U42" i="3"/>
  <c r="AD40" i="3"/>
  <c r="AD41" i="3"/>
  <c r="AE37" i="3"/>
  <c r="AD39" i="3"/>
  <c r="AD38" i="3"/>
  <c r="AE40" i="3"/>
  <c r="AE41" i="3"/>
  <c r="AD33" i="3"/>
  <c r="AD35" i="3"/>
  <c r="AD36" i="3"/>
  <c r="AD32" i="3"/>
  <c r="AE33" i="3"/>
  <c r="AE35" i="3"/>
  <c r="AE36" i="3"/>
  <c r="U32" i="3"/>
  <c r="AD28" i="3"/>
  <c r="AD30" i="3"/>
  <c r="AD31" i="3"/>
  <c r="AD27" i="3"/>
  <c r="AE28" i="3"/>
  <c r="AE30" i="3"/>
  <c r="AE31" i="3"/>
  <c r="U27" i="3"/>
  <c r="AD29" i="3"/>
  <c r="U24" i="3"/>
  <c r="AD25" i="3"/>
  <c r="AD26" i="3"/>
  <c r="AD22" i="3"/>
  <c r="AE25" i="3"/>
  <c r="AE26" i="3"/>
  <c r="U22" i="3"/>
  <c r="AD17" i="3"/>
  <c r="AE18" i="3"/>
  <c r="AE20" i="3"/>
  <c r="AE21" i="3"/>
  <c r="AD18" i="3"/>
  <c r="AD20" i="3"/>
  <c r="AD21" i="3"/>
  <c r="U17" i="3"/>
  <c r="AE12" i="3"/>
  <c r="V52" i="3" l="1"/>
  <c r="AA147" i="3"/>
  <c r="Y22" i="3"/>
  <c r="Y127" i="3"/>
  <c r="Z127" i="3"/>
  <c r="Y137" i="3"/>
  <c r="Z137" i="3"/>
  <c r="Y117" i="3"/>
  <c r="Z117" i="3"/>
  <c r="Z72" i="3"/>
  <c r="Y72" i="3"/>
  <c r="Y102" i="3"/>
  <c r="Z102" i="3"/>
  <c r="Y82" i="3"/>
  <c r="Z82" i="3"/>
  <c r="Y142" i="3"/>
  <c r="Z142" i="3"/>
  <c r="Z112" i="3"/>
  <c r="Y112" i="3"/>
  <c r="Y87" i="3"/>
  <c r="Z87" i="3"/>
  <c r="Y67" i="3"/>
  <c r="Z67" i="3"/>
  <c r="Y52" i="3"/>
  <c r="Z52" i="3"/>
  <c r="Y17" i="3"/>
  <c r="Z17" i="3"/>
  <c r="Y122" i="3"/>
  <c r="Z122" i="3"/>
  <c r="Y32" i="3"/>
  <c r="Z32" i="3"/>
  <c r="Y107" i="3"/>
  <c r="Z107" i="3"/>
  <c r="Y62" i="3"/>
  <c r="Z62" i="3"/>
  <c r="Y77" i="3"/>
  <c r="Z77" i="3"/>
  <c r="Y27" i="3"/>
  <c r="Z27" i="3"/>
  <c r="Z132" i="3"/>
  <c r="Y132" i="3"/>
  <c r="Y97" i="3"/>
  <c r="Z97" i="3"/>
  <c r="Y47" i="3"/>
  <c r="Z47" i="3"/>
  <c r="Y57" i="3"/>
  <c r="Z57" i="3"/>
  <c r="Z12" i="3"/>
  <c r="Y12" i="3"/>
  <c r="V92" i="3"/>
  <c r="Y42" i="3"/>
  <c r="Z42" i="3"/>
  <c r="Z37" i="3"/>
  <c r="Y37" i="3"/>
  <c r="AG151" i="3"/>
  <c r="V137" i="3"/>
  <c r="AF15" i="3"/>
  <c r="V42" i="3"/>
  <c r="AF51" i="3"/>
  <c r="AB47" i="3" s="1"/>
  <c r="V62" i="3"/>
  <c r="V67" i="3"/>
  <c r="V72" i="3"/>
  <c r="V77" i="3"/>
  <c r="V82" i="3"/>
  <c r="V87" i="3"/>
  <c r="V97" i="3"/>
  <c r="AG106" i="3"/>
  <c r="V102" i="3"/>
  <c r="V127" i="3"/>
  <c r="AG141" i="3"/>
  <c r="V12" i="3"/>
  <c r="AG21" i="3"/>
  <c r="V112" i="3"/>
  <c r="V117" i="3"/>
  <c r="V132" i="3"/>
  <c r="V142" i="3"/>
  <c r="AG125" i="3"/>
  <c r="V17" i="3"/>
  <c r="V22" i="3"/>
  <c r="V27" i="3"/>
  <c r="V32" i="3"/>
  <c r="V47" i="3"/>
  <c r="AG121" i="3"/>
  <c r="AG31" i="3"/>
  <c r="AG36" i="3"/>
  <c r="AG46" i="3"/>
  <c r="AG56" i="3"/>
  <c r="AG66" i="3"/>
  <c r="AG76" i="3"/>
  <c r="AG86" i="3"/>
  <c r="AG95" i="3"/>
  <c r="AG101" i="3"/>
  <c r="AG130" i="3"/>
  <c r="AG146" i="3"/>
  <c r="AG61" i="3"/>
  <c r="AG105" i="3"/>
  <c r="AF16" i="3"/>
  <c r="AB12" i="3" s="1"/>
  <c r="AG20" i="3"/>
  <c r="AG26" i="3"/>
  <c r="AF40" i="3"/>
  <c r="V57" i="3"/>
  <c r="AG71" i="3"/>
  <c r="AG81" i="3"/>
  <c r="AG91" i="3"/>
  <c r="AF111" i="3"/>
  <c r="AB107" i="3" s="1"/>
  <c r="AG116" i="3"/>
  <c r="AG126" i="3"/>
  <c r="AG131" i="3"/>
  <c r="AG136" i="3"/>
  <c r="AG145" i="3"/>
  <c r="AF146" i="3"/>
  <c r="AB142" i="3" s="1"/>
  <c r="AF145" i="3"/>
  <c r="AG140" i="3"/>
  <c r="AF141" i="3"/>
  <c r="AB137" i="3" s="1"/>
  <c r="AF140" i="3"/>
  <c r="AG135" i="3"/>
  <c r="AF136" i="3"/>
  <c r="AB132" i="3" s="1"/>
  <c r="AF135" i="3"/>
  <c r="AF131" i="3"/>
  <c r="AB127" i="3" s="1"/>
  <c r="AF130" i="3"/>
  <c r="AF126" i="3"/>
  <c r="AB122" i="3" s="1"/>
  <c r="AF125" i="3"/>
  <c r="V122" i="3"/>
  <c r="AG120" i="3"/>
  <c r="AF121" i="3"/>
  <c r="AB117" i="3" s="1"/>
  <c r="AF120" i="3"/>
  <c r="AF116" i="3"/>
  <c r="AB112" i="3" s="1"/>
  <c r="AF115" i="3"/>
  <c r="AG115" i="3"/>
  <c r="AG111" i="3"/>
  <c r="AG110" i="3"/>
  <c r="V107" i="3"/>
  <c r="AF110" i="3"/>
  <c r="AF106" i="3"/>
  <c r="AB102" i="3" s="1"/>
  <c r="AF105" i="3"/>
  <c r="AF101" i="3"/>
  <c r="AB97" i="3" s="1"/>
  <c r="AF100" i="3"/>
  <c r="AG100" i="3"/>
  <c r="AG96" i="3"/>
  <c r="AF96" i="3"/>
  <c r="AB92" i="3" s="1"/>
  <c r="AF95" i="3"/>
  <c r="AF91" i="3"/>
  <c r="AB87" i="3" s="1"/>
  <c r="AF90" i="3"/>
  <c r="AG90" i="3"/>
  <c r="AG85" i="3"/>
  <c r="AF86" i="3"/>
  <c r="AB82" i="3" s="1"/>
  <c r="AF85" i="3"/>
  <c r="AF81" i="3"/>
  <c r="AB77" i="3" s="1"/>
  <c r="AF80" i="3"/>
  <c r="AG80" i="3"/>
  <c r="AG75" i="3"/>
  <c r="AF76" i="3"/>
  <c r="AB72" i="3" s="1"/>
  <c r="AF75" i="3"/>
  <c r="AF71" i="3"/>
  <c r="AB67" i="3" s="1"/>
  <c r="AF70" i="3"/>
  <c r="AG70" i="3"/>
  <c r="AG65" i="3"/>
  <c r="AF66" i="3"/>
  <c r="AB62" i="3" s="1"/>
  <c r="AF65" i="3"/>
  <c r="AG60" i="3"/>
  <c r="AF61" i="3"/>
  <c r="AB57" i="3" s="1"/>
  <c r="AF60" i="3"/>
  <c r="AF56" i="3"/>
  <c r="AB52" i="3" s="1"/>
  <c r="AF55" i="3"/>
  <c r="AG55" i="3"/>
  <c r="AG51" i="3"/>
  <c r="AG50" i="3"/>
  <c r="AF50" i="3"/>
  <c r="AG45" i="3"/>
  <c r="AF46" i="3"/>
  <c r="AB42" i="3" s="1"/>
  <c r="AF45" i="3"/>
  <c r="AG41" i="3"/>
  <c r="AG40" i="3"/>
  <c r="AF41" i="3"/>
  <c r="AB37" i="3" s="1"/>
  <c r="AG35" i="3"/>
  <c r="AF36" i="3"/>
  <c r="AB32" i="3" s="1"/>
  <c r="AF35" i="3"/>
  <c r="AG30" i="3"/>
  <c r="AF31" i="3"/>
  <c r="AB27" i="3" s="1"/>
  <c r="AF30" i="3"/>
  <c r="AF26" i="3"/>
  <c r="AB22" i="3" s="1"/>
  <c r="AF25" i="3"/>
  <c r="AG25" i="3"/>
  <c r="AF21" i="3"/>
  <c r="AB17" i="3" s="1"/>
  <c r="AF20" i="3"/>
  <c r="AA37" i="3" l="1"/>
  <c r="AA102" i="3"/>
  <c r="AA127" i="3"/>
  <c r="AA17" i="3"/>
  <c r="AA122" i="3"/>
  <c r="AA27" i="3"/>
  <c r="AA72" i="3"/>
  <c r="AA107" i="3"/>
  <c r="AA142" i="3"/>
  <c r="AA77" i="3"/>
  <c r="AA92" i="3"/>
  <c r="AA97" i="3"/>
  <c r="AA57" i="3"/>
  <c r="AA132" i="3"/>
  <c r="AA52" i="3"/>
  <c r="AA112" i="3"/>
  <c r="AA42" i="3"/>
  <c r="AA62" i="3"/>
  <c r="AA67" i="3"/>
  <c r="AA82" i="3"/>
  <c r="AA87" i="3"/>
  <c r="AA137" i="3"/>
  <c r="AA117" i="3"/>
  <c r="AA47" i="3"/>
  <c r="AA32" i="3"/>
  <c r="AA22" i="3"/>
  <c r="AC2" i="3" l="1"/>
  <c r="AC3" i="3"/>
  <c r="AC4" i="3"/>
  <c r="AC5" i="3"/>
  <c r="AC6" i="3"/>
  <c r="AC7" i="3"/>
  <c r="AC8" i="3"/>
  <c r="AC9" i="3"/>
  <c r="AC10" i="3"/>
  <c r="AC11" i="3"/>
  <c r="C2" i="3" l="1"/>
  <c r="B2" i="3"/>
  <c r="B3" i="3" s="1"/>
  <c r="B4" i="3" s="1"/>
  <c r="B5" i="3" s="1"/>
  <c r="B6" i="3" s="1"/>
  <c r="A3" i="3"/>
  <c r="C3" i="3" s="1"/>
  <c r="A7" i="3"/>
  <c r="AF2" i="3"/>
  <c r="Z2" i="3" l="1"/>
  <c r="X2" i="3" s="1"/>
  <c r="Y2" i="3"/>
  <c r="C7" i="3"/>
  <c r="A12" i="3"/>
  <c r="B7" i="3"/>
  <c r="B8" i="3" s="1"/>
  <c r="B9" i="3" s="1"/>
  <c r="B10" i="3" s="1"/>
  <c r="B11" i="3" s="1"/>
  <c r="A8" i="3"/>
  <c r="A4" i="3"/>
  <c r="AF7" i="3"/>
  <c r="Y7" i="3" l="1"/>
  <c r="Z7" i="3"/>
  <c r="X7" i="3" s="1"/>
  <c r="X12" i="3" s="1"/>
  <c r="X17" i="3" s="1"/>
  <c r="X22" i="3" s="1"/>
  <c r="X27" i="3" s="1"/>
  <c r="X32" i="3" s="1"/>
  <c r="X37" i="3" s="1"/>
  <c r="X42" i="3" s="1"/>
  <c r="X47" i="3" s="1"/>
  <c r="X52" i="3" s="1"/>
  <c r="X57" i="3" s="1"/>
  <c r="X62" i="3" s="1"/>
  <c r="X67" i="3" s="1"/>
  <c r="X72" i="3" s="1"/>
  <c r="X77" i="3" s="1"/>
  <c r="X82" i="3" s="1"/>
  <c r="X87" i="3" s="1"/>
  <c r="X92" i="3" s="1"/>
  <c r="X97" i="3" s="1"/>
  <c r="X102" i="3" s="1"/>
  <c r="X107" i="3" s="1"/>
  <c r="X112" i="3" s="1"/>
  <c r="X117" i="3" s="1"/>
  <c r="X122" i="3" s="1"/>
  <c r="X127" i="3" s="1"/>
  <c r="X132" i="3" s="1"/>
  <c r="X137" i="3" s="1"/>
  <c r="X142" i="3" s="1"/>
  <c r="X147" i="3" s="1"/>
  <c r="X152" i="3" s="1"/>
  <c r="X157" i="3" s="1"/>
  <c r="X162" i="3" s="1"/>
  <c r="X167" i="3" s="1"/>
  <c r="X172" i="3" s="1"/>
  <c r="X177" i="3" s="1"/>
  <c r="X182" i="3" s="1"/>
  <c r="X187" i="3" s="1"/>
  <c r="X192" i="3" s="1"/>
  <c r="X197" i="3" s="1"/>
  <c r="X202" i="3" s="1"/>
  <c r="X207" i="3" s="1"/>
  <c r="X212" i="3" s="1"/>
  <c r="X217" i="3" s="1"/>
  <c r="X222" i="3" s="1"/>
  <c r="X227" i="3" s="1"/>
  <c r="X232" i="3" s="1"/>
  <c r="X237" i="3" s="1"/>
  <c r="X242" i="3" s="1"/>
  <c r="X247" i="3" s="1"/>
  <c r="X252" i="3" s="1"/>
  <c r="X257" i="3" s="1"/>
  <c r="X262" i="3" s="1"/>
  <c r="X267" i="3" s="1"/>
  <c r="X272" i="3" s="1"/>
  <c r="X277" i="3" s="1"/>
  <c r="X282" i="3" s="1"/>
  <c r="X287" i="3" s="1"/>
  <c r="X292" i="3" s="1"/>
  <c r="X297" i="3" s="1"/>
  <c r="X302" i="3" s="1"/>
  <c r="X307" i="3" s="1"/>
  <c r="X312" i="3" s="1"/>
  <c r="X317" i="3" s="1"/>
  <c r="X322" i="3" s="1"/>
  <c r="X327" i="3" s="1"/>
  <c r="X332" i="3" s="1"/>
  <c r="X337" i="3" s="1"/>
  <c r="X342" i="3" s="1"/>
  <c r="X347" i="3" s="1"/>
  <c r="X352" i="3" s="1"/>
  <c r="X357" i="3" s="1"/>
  <c r="X362" i="3" s="1"/>
  <c r="C12" i="3"/>
  <c r="A17" i="3"/>
  <c r="B12" i="3"/>
  <c r="B13" i="3" s="1"/>
  <c r="B14" i="3" s="1"/>
  <c r="B15" i="3" s="1"/>
  <c r="B16" i="3" s="1"/>
  <c r="A13" i="3"/>
  <c r="A5" i="3"/>
  <c r="C4" i="3"/>
  <c r="A9" i="3"/>
  <c r="C8" i="3"/>
  <c r="C17" i="3" l="1"/>
  <c r="A22" i="3"/>
  <c r="A18" i="3"/>
  <c r="B17" i="3"/>
  <c r="B18" i="3" s="1"/>
  <c r="B19" i="3" s="1"/>
  <c r="B20" i="3" s="1"/>
  <c r="B21" i="3" s="1"/>
  <c r="C13" i="3"/>
  <c r="A14" i="3"/>
  <c r="A10" i="3"/>
  <c r="C9" i="3"/>
  <c r="A6" i="3"/>
  <c r="C6" i="3" s="1"/>
  <c r="C5" i="3"/>
  <c r="C18" i="3" l="1"/>
  <c r="A19" i="3"/>
  <c r="A15" i="3"/>
  <c r="C14" i="3"/>
  <c r="C22" i="3"/>
  <c r="A27" i="3"/>
  <c r="B22" i="3"/>
  <c r="B23" i="3" s="1"/>
  <c r="B24" i="3" s="1"/>
  <c r="B25" i="3" s="1"/>
  <c r="B26" i="3" s="1"/>
  <c r="A23" i="3"/>
  <c r="AH112" i="3"/>
  <c r="A11" i="3"/>
  <c r="C11" i="3" s="1"/>
  <c r="C10" i="3"/>
  <c r="A24" i="3" l="1"/>
  <c r="C23" i="3"/>
  <c r="C15" i="3"/>
  <c r="A16" i="3"/>
  <c r="C16" i="3" s="1"/>
  <c r="C27" i="3"/>
  <c r="A32" i="3"/>
  <c r="B27" i="3"/>
  <c r="B28" i="3" s="1"/>
  <c r="B29" i="3" s="1"/>
  <c r="B30" i="3" s="1"/>
  <c r="B31" i="3" s="1"/>
  <c r="A28" i="3"/>
  <c r="C19" i="3"/>
  <c r="A20" i="3"/>
  <c r="M11" i="3"/>
  <c r="L11" i="3"/>
  <c r="M10" i="3"/>
  <c r="L10" i="3"/>
  <c r="M9" i="3"/>
  <c r="L9" i="3"/>
  <c r="M8" i="3"/>
  <c r="L8" i="3"/>
  <c r="M7" i="3"/>
  <c r="L7" i="3"/>
  <c r="M5" i="3"/>
  <c r="L5" i="3"/>
  <c r="M4" i="3"/>
  <c r="L4" i="3"/>
  <c r="L3" i="3"/>
  <c r="A21" i="3" l="1"/>
  <c r="C21" i="3" s="1"/>
  <c r="C20" i="3"/>
  <c r="C32" i="3"/>
  <c r="A37" i="3"/>
  <c r="A33" i="3"/>
  <c r="B32" i="3"/>
  <c r="B33" i="3" s="1"/>
  <c r="B34" i="3" s="1"/>
  <c r="B35" i="3" s="1"/>
  <c r="B36" i="3" s="1"/>
  <c r="A29" i="3"/>
  <c r="C28" i="3"/>
  <c r="A25" i="3"/>
  <c r="C24" i="3"/>
  <c r="AD2" i="3"/>
  <c r="AE2" i="3"/>
  <c r="AD4" i="3"/>
  <c r="AE4" i="3"/>
  <c r="AD6" i="3"/>
  <c r="AE6" i="3"/>
  <c r="AD8" i="3"/>
  <c r="AE8" i="3"/>
  <c r="AD10" i="3"/>
  <c r="AE10" i="3"/>
  <c r="AE3" i="3"/>
  <c r="AD3" i="3"/>
  <c r="AE5" i="3"/>
  <c r="AD5" i="3"/>
  <c r="AE7" i="3"/>
  <c r="AD7" i="3"/>
  <c r="AE9" i="3"/>
  <c r="AD9" i="3"/>
  <c r="AE11" i="3"/>
  <c r="AD11" i="3"/>
  <c r="U10" i="3"/>
  <c r="U5" i="3"/>
  <c r="U4" i="3"/>
  <c r="U3" i="3"/>
  <c r="U6" i="3"/>
  <c r="U11" i="3"/>
  <c r="U7" i="3"/>
  <c r="U8" i="3"/>
  <c r="U9" i="3"/>
  <c r="V2" i="3" l="1"/>
  <c r="AG15" i="3"/>
  <c r="AA12" i="3" s="1"/>
  <c r="AG16" i="3"/>
  <c r="C29" i="3"/>
  <c r="A30" i="3"/>
  <c r="C37" i="3"/>
  <c r="A42" i="3"/>
  <c r="B37" i="3"/>
  <c r="B38" i="3" s="1"/>
  <c r="B39" i="3" s="1"/>
  <c r="B40" i="3" s="1"/>
  <c r="B41" i="3" s="1"/>
  <c r="A38" i="3"/>
  <c r="A26" i="3"/>
  <c r="C26" i="3" s="1"/>
  <c r="C25" i="3"/>
  <c r="A34" i="3"/>
  <c r="C33" i="3"/>
  <c r="AF6" i="3"/>
  <c r="AB2" i="3" s="1"/>
  <c r="AF5" i="3"/>
  <c r="AF11" i="3"/>
  <c r="AB7" i="3" s="1"/>
  <c r="AF10" i="3"/>
  <c r="V7" i="3"/>
  <c r="AG6" i="3"/>
  <c r="A39" i="3" l="1"/>
  <c r="C38" i="3"/>
  <c r="C42" i="3"/>
  <c r="A47" i="3"/>
  <c r="B42" i="3"/>
  <c r="B43" i="3" s="1"/>
  <c r="B44" i="3" s="1"/>
  <c r="B45" i="3" s="1"/>
  <c r="B46" i="3" s="1"/>
  <c r="A43" i="3"/>
  <c r="A35" i="3"/>
  <c r="C34" i="3"/>
  <c r="C30" i="3"/>
  <c r="A31" i="3"/>
  <c r="C31" i="3" s="1"/>
  <c r="AG5" i="3"/>
  <c r="AA2" i="3" s="1"/>
  <c r="W7" i="3"/>
  <c r="W12" i="3" s="1"/>
  <c r="W17" i="3" s="1"/>
  <c r="W22" i="3" s="1"/>
  <c r="W27" i="3" s="1"/>
  <c r="W32" i="3" s="1"/>
  <c r="AG10" i="3"/>
  <c r="AA7" i="3" s="1"/>
  <c r="A36" i="3" l="1"/>
  <c r="C36" i="3" s="1"/>
  <c r="C35" i="3"/>
  <c r="B47" i="3"/>
  <c r="B48" i="3" s="1"/>
  <c r="B49" i="3" s="1"/>
  <c r="B50" i="3" s="1"/>
  <c r="B51" i="3" s="1"/>
  <c r="A52" i="3"/>
  <c r="C47" i="3"/>
  <c r="A48" i="3"/>
  <c r="C43" i="3"/>
  <c r="A44" i="3"/>
  <c r="C39" i="3"/>
  <c r="A40" i="3"/>
  <c r="AG11" i="3"/>
  <c r="C40" i="3" l="1"/>
  <c r="A41" i="3"/>
  <c r="C41" i="3" s="1"/>
  <c r="C52" i="3"/>
  <c r="A57" i="3"/>
  <c r="A53" i="3"/>
  <c r="B52" i="3"/>
  <c r="B53" i="3" s="1"/>
  <c r="B54" i="3" s="1"/>
  <c r="B55" i="3" s="1"/>
  <c r="B56" i="3" s="1"/>
  <c r="A49" i="3"/>
  <c r="C48" i="3"/>
  <c r="C44" i="3"/>
  <c r="A45" i="3"/>
  <c r="A50" i="3" l="1"/>
  <c r="C49" i="3"/>
  <c r="C57" i="3"/>
  <c r="A62" i="3"/>
  <c r="A58" i="3"/>
  <c r="B57" i="3"/>
  <c r="B58" i="3" s="1"/>
  <c r="B59" i="3" s="1"/>
  <c r="B60" i="3" s="1"/>
  <c r="B61" i="3" s="1"/>
  <c r="A46" i="3"/>
  <c r="C46" i="3" s="1"/>
  <c r="C45" i="3"/>
  <c r="C53" i="3"/>
  <c r="A54" i="3"/>
  <c r="C62" i="3" l="1"/>
  <c r="A67" i="3"/>
  <c r="B62" i="3"/>
  <c r="B63" i="3" s="1"/>
  <c r="B64" i="3" s="1"/>
  <c r="B65" i="3" s="1"/>
  <c r="B66" i="3" s="1"/>
  <c r="A63" i="3"/>
  <c r="C54" i="3"/>
  <c r="A55" i="3"/>
  <c r="A59" i="3"/>
  <c r="C58" i="3"/>
  <c r="A51" i="3"/>
  <c r="C51" i="3" s="1"/>
  <c r="C50" i="3"/>
  <c r="C63" i="3" l="1"/>
  <c r="A64" i="3"/>
  <c r="A56" i="3"/>
  <c r="C56" i="3" s="1"/>
  <c r="C55" i="3"/>
  <c r="A60" i="3"/>
  <c r="C59" i="3"/>
  <c r="C67" i="3"/>
  <c r="A72" i="3"/>
  <c r="B67" i="3"/>
  <c r="B68" i="3" s="1"/>
  <c r="B69" i="3" s="1"/>
  <c r="B70" i="3" s="1"/>
  <c r="B71" i="3" s="1"/>
  <c r="A68" i="3"/>
  <c r="C72" i="3" l="1"/>
  <c r="A77" i="3"/>
  <c r="A73" i="3"/>
  <c r="B72" i="3"/>
  <c r="B73" i="3" s="1"/>
  <c r="B74" i="3" s="1"/>
  <c r="B75" i="3" s="1"/>
  <c r="B76" i="3" s="1"/>
  <c r="A69" i="3"/>
  <c r="C68" i="3"/>
  <c r="C64" i="3"/>
  <c r="A65" i="3"/>
  <c r="C60" i="3"/>
  <c r="A61" i="3"/>
  <c r="C61" i="3" s="1"/>
  <c r="A66" i="3" l="1"/>
  <c r="C66" i="3" s="1"/>
  <c r="C65" i="3"/>
  <c r="A74" i="3"/>
  <c r="C73" i="3"/>
  <c r="A70" i="3"/>
  <c r="C69" i="3"/>
  <c r="C77" i="3"/>
  <c r="A82" i="3"/>
  <c r="B77" i="3"/>
  <c r="B78" i="3" s="1"/>
  <c r="B79" i="3" s="1"/>
  <c r="B80" i="3" s="1"/>
  <c r="B81" i="3" s="1"/>
  <c r="A78" i="3"/>
  <c r="C74" i="3" l="1"/>
  <c r="A75" i="3"/>
  <c r="C82" i="3"/>
  <c r="A87" i="3"/>
  <c r="B82" i="3"/>
  <c r="B83" i="3" s="1"/>
  <c r="B84" i="3" s="1"/>
  <c r="B85" i="3" s="1"/>
  <c r="B86" i="3" s="1"/>
  <c r="A83" i="3"/>
  <c r="C78" i="3"/>
  <c r="A79" i="3"/>
  <c r="C70" i="3"/>
  <c r="A71" i="3"/>
  <c r="C71" i="3" s="1"/>
  <c r="C87" i="3" l="1"/>
  <c r="A92" i="3"/>
  <c r="B87" i="3"/>
  <c r="B88" i="3" s="1"/>
  <c r="B89" i="3" s="1"/>
  <c r="B90" i="3" s="1"/>
  <c r="B91" i="3" s="1"/>
  <c r="A88" i="3"/>
  <c r="C83" i="3"/>
  <c r="A84" i="3"/>
  <c r="A80" i="3"/>
  <c r="C79" i="3"/>
  <c r="A76" i="3"/>
  <c r="C76" i="3" s="1"/>
  <c r="C75" i="3"/>
  <c r="C84" i="3" l="1"/>
  <c r="A85" i="3"/>
  <c r="C92" i="3"/>
  <c r="A97" i="3"/>
  <c r="A93" i="3"/>
  <c r="B92" i="3"/>
  <c r="B93" i="3" s="1"/>
  <c r="B94" i="3" s="1"/>
  <c r="B95" i="3" s="1"/>
  <c r="B96" i="3" s="1"/>
  <c r="C80" i="3"/>
  <c r="A81" i="3"/>
  <c r="C81" i="3" s="1"/>
  <c r="A89" i="3"/>
  <c r="C88" i="3"/>
  <c r="C97" i="3" l="1"/>
  <c r="A102" i="3"/>
  <c r="A98" i="3"/>
  <c r="B97" i="3"/>
  <c r="B98" i="3" s="1"/>
  <c r="B99" i="3" s="1"/>
  <c r="B100" i="3" s="1"/>
  <c r="B101" i="3" s="1"/>
  <c r="A90" i="3"/>
  <c r="C89" i="3"/>
  <c r="A94" i="3"/>
  <c r="C93" i="3"/>
  <c r="A86" i="3"/>
  <c r="C86" i="3" s="1"/>
  <c r="C85" i="3"/>
  <c r="C94" i="3" l="1"/>
  <c r="A95" i="3"/>
  <c r="C98" i="3"/>
  <c r="A99" i="3"/>
  <c r="C90" i="3"/>
  <c r="A91" i="3"/>
  <c r="C91" i="3" s="1"/>
  <c r="C102" i="3"/>
  <c r="A107" i="3"/>
  <c r="A103" i="3"/>
  <c r="B102" i="3"/>
  <c r="B103" i="3" s="1"/>
  <c r="B104" i="3" s="1"/>
  <c r="B105" i="3" s="1"/>
  <c r="B106" i="3" s="1"/>
  <c r="A108" i="3" l="1"/>
  <c r="A112" i="3"/>
  <c r="C107" i="3"/>
  <c r="B107" i="3"/>
  <c r="B108" i="3" s="1"/>
  <c r="B109" i="3" s="1"/>
  <c r="B110" i="3" s="1"/>
  <c r="B111" i="3" s="1"/>
  <c r="C99" i="3"/>
  <c r="A100" i="3"/>
  <c r="A96" i="3"/>
  <c r="C96" i="3" s="1"/>
  <c r="C95" i="3"/>
  <c r="A104" i="3"/>
  <c r="C103" i="3"/>
  <c r="C100" i="3" l="1"/>
  <c r="A101" i="3"/>
  <c r="C101" i="3" s="1"/>
  <c r="A105" i="3"/>
  <c r="C104" i="3"/>
  <c r="C112" i="3"/>
  <c r="A117" i="3"/>
  <c r="A113" i="3"/>
  <c r="B112" i="3"/>
  <c r="B113" i="3" s="1"/>
  <c r="B114" i="3" s="1"/>
  <c r="B115" i="3" s="1"/>
  <c r="B116" i="3" s="1"/>
  <c r="C108" i="3"/>
  <c r="A109" i="3"/>
  <c r="C109" i="3" l="1"/>
  <c r="A110" i="3"/>
  <c r="A114" i="3"/>
  <c r="C113" i="3"/>
  <c r="C105" i="3"/>
  <c r="A106" i="3"/>
  <c r="C106" i="3" s="1"/>
  <c r="C117" i="3"/>
  <c r="A122" i="3"/>
  <c r="A118" i="3"/>
  <c r="B117" i="3"/>
  <c r="B118" i="3" s="1"/>
  <c r="B119" i="3" s="1"/>
  <c r="B120" i="3" s="1"/>
  <c r="B121" i="3" s="1"/>
  <c r="A123" i="3" l="1"/>
  <c r="A127" i="3"/>
  <c r="C122" i="3"/>
  <c r="B122" i="3"/>
  <c r="B123" i="3" s="1"/>
  <c r="B124" i="3" s="1"/>
  <c r="B125" i="3" s="1"/>
  <c r="B126" i="3" s="1"/>
  <c r="A115" i="3"/>
  <c r="C114" i="3"/>
  <c r="A111" i="3"/>
  <c r="C111" i="3" s="1"/>
  <c r="C110" i="3"/>
  <c r="C118" i="3"/>
  <c r="A119" i="3"/>
  <c r="A120" i="3" l="1"/>
  <c r="C119" i="3"/>
  <c r="C115" i="3"/>
  <c r="A116" i="3"/>
  <c r="C116" i="3" s="1"/>
  <c r="C127" i="3"/>
  <c r="A132" i="3"/>
  <c r="B127" i="3"/>
  <c r="B128" i="3" s="1"/>
  <c r="B129" i="3" s="1"/>
  <c r="B130" i="3" s="1"/>
  <c r="B131" i="3" s="1"/>
  <c r="A128" i="3"/>
  <c r="C123" i="3"/>
  <c r="A124" i="3"/>
  <c r="C132" i="3" l="1"/>
  <c r="A137" i="3"/>
  <c r="B132" i="3"/>
  <c r="B133" i="3" s="1"/>
  <c r="B134" i="3" s="1"/>
  <c r="B135" i="3" s="1"/>
  <c r="B136" i="3" s="1"/>
  <c r="A133" i="3"/>
  <c r="A129" i="3"/>
  <c r="C128" i="3"/>
  <c r="A125" i="3"/>
  <c r="C124" i="3"/>
  <c r="C120" i="3"/>
  <c r="A121" i="3"/>
  <c r="C121" i="3" s="1"/>
  <c r="A126" i="3" l="1"/>
  <c r="C126" i="3" s="1"/>
  <c r="C125" i="3"/>
  <c r="A134" i="3"/>
  <c r="C133" i="3"/>
  <c r="C129" i="3"/>
  <c r="A130" i="3"/>
  <c r="C137" i="3"/>
  <c r="A142" i="3"/>
  <c r="A147" i="3" s="1"/>
  <c r="A138" i="3"/>
  <c r="B137" i="3"/>
  <c r="B138" i="3" s="1"/>
  <c r="B139" i="3" s="1"/>
  <c r="B140" i="3" s="1"/>
  <c r="B141" i="3" s="1"/>
  <c r="B147" i="3" l="1"/>
  <c r="B148" i="3" s="1"/>
  <c r="B149" i="3" s="1"/>
  <c r="B150" i="3" s="1"/>
  <c r="B151" i="3" s="1"/>
  <c r="A152" i="3"/>
  <c r="A148" i="3"/>
  <c r="C147" i="3"/>
  <c r="A143" i="3"/>
  <c r="B142" i="3"/>
  <c r="B143" i="3" s="1"/>
  <c r="B144" i="3" s="1"/>
  <c r="B145" i="3" s="1"/>
  <c r="B146" i="3" s="1"/>
  <c r="C142" i="3"/>
  <c r="A135" i="3"/>
  <c r="C134" i="3"/>
  <c r="C130" i="3"/>
  <c r="A131" i="3"/>
  <c r="C131" i="3" s="1"/>
  <c r="A139" i="3"/>
  <c r="C138" i="3"/>
  <c r="A149" i="3" l="1"/>
  <c r="C148" i="3"/>
  <c r="A153" i="3"/>
  <c r="B152" i="3"/>
  <c r="B153" i="3" s="1"/>
  <c r="B154" i="3" s="1"/>
  <c r="B155" i="3" s="1"/>
  <c r="B156" i="3" s="1"/>
  <c r="C152" i="3"/>
  <c r="A157" i="3"/>
  <c r="C139" i="3"/>
  <c r="A140" i="3"/>
  <c r="A136" i="3"/>
  <c r="C136" i="3" s="1"/>
  <c r="C135" i="3"/>
  <c r="A144" i="3"/>
  <c r="C143" i="3"/>
  <c r="A158" i="3" l="1"/>
  <c r="A162" i="3"/>
  <c r="B157" i="3"/>
  <c r="B158" i="3" s="1"/>
  <c r="B159" i="3" s="1"/>
  <c r="B160" i="3" s="1"/>
  <c r="B161" i="3" s="1"/>
  <c r="C157" i="3"/>
  <c r="C149" i="3"/>
  <c r="A150" i="3"/>
  <c r="A154" i="3"/>
  <c r="C153" i="3"/>
  <c r="C140" i="3"/>
  <c r="A141" i="3"/>
  <c r="C141" i="3" s="1"/>
  <c r="A145" i="3"/>
  <c r="C144" i="3"/>
  <c r="A151" i="3" l="1"/>
  <c r="C151" i="3" s="1"/>
  <c r="C150" i="3"/>
  <c r="B162" i="3"/>
  <c r="B163" i="3" s="1"/>
  <c r="B164" i="3" s="1"/>
  <c r="B165" i="3" s="1"/>
  <c r="B166" i="3" s="1"/>
  <c r="A163" i="3"/>
  <c r="A167" i="3"/>
  <c r="C162" i="3"/>
  <c r="C158" i="3"/>
  <c r="A159" i="3"/>
  <c r="C154" i="3"/>
  <c r="A155" i="3"/>
  <c r="C145" i="3"/>
  <c r="A146" i="3"/>
  <c r="A156" i="3" l="1"/>
  <c r="C156" i="3" s="1"/>
  <c r="C155" i="3"/>
  <c r="B167" i="3"/>
  <c r="B168" i="3" s="1"/>
  <c r="B169" i="3" s="1"/>
  <c r="B170" i="3" s="1"/>
  <c r="B171" i="3" s="1"/>
  <c r="A168" i="3"/>
  <c r="A172" i="3"/>
  <c r="C167" i="3"/>
  <c r="C159" i="3"/>
  <c r="A160" i="3"/>
  <c r="A164" i="3"/>
  <c r="C163" i="3"/>
  <c r="C146" i="3"/>
  <c r="C164" i="3" l="1"/>
  <c r="A165" i="3"/>
  <c r="B172" i="3"/>
  <c r="B173" i="3" s="1"/>
  <c r="B174" i="3" s="1"/>
  <c r="B175" i="3" s="1"/>
  <c r="B176" i="3" s="1"/>
  <c r="A173" i="3"/>
  <c r="C172" i="3"/>
  <c r="A177" i="3"/>
  <c r="A161" i="3"/>
  <c r="C161" i="3" s="1"/>
  <c r="C160" i="3"/>
  <c r="C168" i="3"/>
  <c r="A169" i="3"/>
  <c r="U38" i="3"/>
  <c r="A174" i="3" l="1"/>
  <c r="C173" i="3"/>
  <c r="B177" i="3"/>
  <c r="B178" i="3" s="1"/>
  <c r="B179" i="3" s="1"/>
  <c r="B180" i="3" s="1"/>
  <c r="B181" i="3" s="1"/>
  <c r="C177" i="3"/>
  <c r="A182" i="3"/>
  <c r="A178" i="3"/>
  <c r="C169" i="3"/>
  <c r="A170" i="3"/>
  <c r="A166" i="3"/>
  <c r="C166" i="3" s="1"/>
  <c r="C165" i="3"/>
  <c r="V37" i="3"/>
  <c r="W37" i="3" s="1"/>
  <c r="W42" i="3" s="1"/>
  <c r="W47" i="3" s="1"/>
  <c r="W52" i="3" s="1"/>
  <c r="W57" i="3" s="1"/>
  <c r="W62" i="3" s="1"/>
  <c r="W67" i="3" s="1"/>
  <c r="W72" i="3" s="1"/>
  <c r="W77" i="3" s="1"/>
  <c r="W82" i="3" s="1"/>
  <c r="W87" i="3" s="1"/>
  <c r="W92" i="3" s="1"/>
  <c r="W97" i="3" s="1"/>
  <c r="W102" i="3" s="1"/>
  <c r="W107" i="3" s="1"/>
  <c r="W112" i="3" s="1"/>
  <c r="W117" i="3" s="1"/>
  <c r="W122" i="3" s="1"/>
  <c r="W127" i="3" s="1"/>
  <c r="W132" i="3" s="1"/>
  <c r="W137" i="3" s="1"/>
  <c r="W142" i="3" s="1"/>
  <c r="W147" i="3" s="1"/>
  <c r="W152" i="3" s="1"/>
  <c r="W157" i="3" s="1"/>
  <c r="W162" i="3" s="1"/>
  <c r="W167" i="3" s="1"/>
  <c r="W172" i="3" s="1"/>
  <c r="W177" i="3" s="1"/>
  <c r="W182" i="3" s="1"/>
  <c r="W187" i="3" s="1"/>
  <c r="W192" i="3" s="1"/>
  <c r="W197" i="3" s="1"/>
  <c r="W202" i="3" s="1"/>
  <c r="W207" i="3" s="1"/>
  <c r="W212" i="3" s="1"/>
  <c r="W217" i="3" s="1"/>
  <c r="W222" i="3" s="1"/>
  <c r="W227" i="3" s="1"/>
  <c r="W232" i="3" s="1"/>
  <c r="W237" i="3" s="1"/>
  <c r="W242" i="3" s="1"/>
  <c r="W247" i="3" s="1"/>
  <c r="W252" i="3" s="1"/>
  <c r="W257" i="3" s="1"/>
  <c r="W262" i="3" s="1"/>
  <c r="W267" i="3" s="1"/>
  <c r="W272" i="3" s="1"/>
  <c r="W277" i="3" s="1"/>
  <c r="W282" i="3" s="1"/>
  <c r="W287" i="3" s="1"/>
  <c r="W292" i="3" s="1"/>
  <c r="W297" i="3" s="1"/>
  <c r="W302" i="3" s="1"/>
  <c r="W307" i="3" s="1"/>
  <c r="W312" i="3" s="1"/>
  <c r="W317" i="3" s="1"/>
  <c r="W322" i="3" s="1"/>
  <c r="W327" i="3" s="1"/>
  <c r="W332" i="3" s="1"/>
  <c r="W337" i="3" s="1"/>
  <c r="W342" i="3" s="1"/>
  <c r="W347" i="3" s="1"/>
  <c r="W352" i="3" s="1"/>
  <c r="W357" i="3" s="1"/>
  <c r="W362" i="3" s="1"/>
  <c r="C170" i="3" l="1"/>
  <c r="A171" i="3"/>
  <c r="C171" i="3" s="1"/>
  <c r="A179" i="3"/>
  <c r="C178" i="3"/>
  <c r="A183" i="3"/>
  <c r="A187" i="3"/>
  <c r="C182" i="3"/>
  <c r="B182" i="3"/>
  <c r="B183" i="3" s="1"/>
  <c r="B184" i="3" s="1"/>
  <c r="B185" i="3" s="1"/>
  <c r="B186" i="3" s="1"/>
  <c r="A175" i="3"/>
  <c r="C174" i="3"/>
  <c r="C179" i="3" l="1"/>
  <c r="A180" i="3"/>
  <c r="A192" i="3"/>
  <c r="C187" i="3"/>
  <c r="B187" i="3"/>
  <c r="B188" i="3" s="1"/>
  <c r="B189" i="3" s="1"/>
  <c r="B190" i="3" s="1"/>
  <c r="B191" i="3" s="1"/>
  <c r="A188" i="3"/>
  <c r="A176" i="3"/>
  <c r="C176" i="3" s="1"/>
  <c r="C175" i="3"/>
  <c r="A184" i="3"/>
  <c r="C183" i="3"/>
  <c r="A185" i="3" l="1"/>
  <c r="C184" i="3"/>
  <c r="C192" i="3"/>
  <c r="B192" i="3"/>
  <c r="B193" i="3" s="1"/>
  <c r="B194" i="3" s="1"/>
  <c r="B195" i="3" s="1"/>
  <c r="B196" i="3" s="1"/>
  <c r="A193" i="3"/>
  <c r="A197" i="3"/>
  <c r="A189" i="3"/>
  <c r="C188" i="3"/>
  <c r="C180" i="3"/>
  <c r="A181" i="3"/>
  <c r="C181" i="3" s="1"/>
  <c r="C189" i="3" l="1"/>
  <c r="A190" i="3"/>
  <c r="A198" i="3"/>
  <c r="A202" i="3"/>
  <c r="B197" i="3"/>
  <c r="B198" i="3" s="1"/>
  <c r="B199" i="3" s="1"/>
  <c r="B200" i="3" s="1"/>
  <c r="B201" i="3" s="1"/>
  <c r="C197" i="3"/>
  <c r="A194" i="3"/>
  <c r="C193" i="3"/>
  <c r="A186" i="3"/>
  <c r="C186" i="3" s="1"/>
  <c r="C185" i="3"/>
  <c r="B202" i="3" l="1"/>
  <c r="B203" i="3" s="1"/>
  <c r="B204" i="3" s="1"/>
  <c r="B205" i="3" s="1"/>
  <c r="B206" i="3" s="1"/>
  <c r="A207" i="3"/>
  <c r="C202" i="3"/>
  <c r="A203" i="3"/>
  <c r="C194" i="3"/>
  <c r="A195" i="3"/>
  <c r="A199" i="3"/>
  <c r="C198" i="3"/>
  <c r="A191" i="3"/>
  <c r="C191" i="3" s="1"/>
  <c r="C190" i="3"/>
  <c r="A204" i="3" l="1"/>
  <c r="C203" i="3"/>
  <c r="C199" i="3"/>
  <c r="A200" i="3"/>
  <c r="A196" i="3"/>
  <c r="C196" i="3" s="1"/>
  <c r="C195" i="3"/>
  <c r="A212" i="3"/>
  <c r="A217" i="3" s="1"/>
  <c r="C207" i="3"/>
  <c r="B207" i="3"/>
  <c r="B208" i="3" s="1"/>
  <c r="B209" i="3" s="1"/>
  <c r="B210" i="3" s="1"/>
  <c r="B211" i="3" s="1"/>
  <c r="A208" i="3"/>
  <c r="B217" i="3" l="1"/>
  <c r="B218" i="3" s="1"/>
  <c r="B219" i="3" s="1"/>
  <c r="B220" i="3" s="1"/>
  <c r="B221" i="3" s="1"/>
  <c r="A222" i="3"/>
  <c r="C217" i="3"/>
  <c r="A218" i="3"/>
  <c r="C200" i="3"/>
  <c r="A201" i="3"/>
  <c r="C201" i="3" s="1"/>
  <c r="B212" i="3"/>
  <c r="B213" i="3" s="1"/>
  <c r="B214" i="3" s="1"/>
  <c r="B215" i="3" s="1"/>
  <c r="B216" i="3" s="1"/>
  <c r="C212" i="3"/>
  <c r="A213" i="3"/>
  <c r="A209" i="3"/>
  <c r="C208" i="3"/>
  <c r="A205" i="3"/>
  <c r="C204" i="3"/>
  <c r="A219" i="3" l="1"/>
  <c r="C218" i="3"/>
  <c r="B222" i="3"/>
  <c r="B223" i="3" s="1"/>
  <c r="B224" i="3" s="1"/>
  <c r="B225" i="3" s="1"/>
  <c r="B226" i="3" s="1"/>
  <c r="A223" i="3"/>
  <c r="C222" i="3"/>
  <c r="A227" i="3"/>
  <c r="C209" i="3"/>
  <c r="A210" i="3"/>
  <c r="A214" i="3"/>
  <c r="C213" i="3"/>
  <c r="A206" i="3"/>
  <c r="C206" i="3" s="1"/>
  <c r="C205" i="3"/>
  <c r="C227" i="3" l="1"/>
  <c r="B227" i="3"/>
  <c r="B228" i="3" s="1"/>
  <c r="B229" i="3" s="1"/>
  <c r="B230" i="3" s="1"/>
  <c r="B231" i="3" s="1"/>
  <c r="A232" i="3"/>
  <c r="A228" i="3"/>
  <c r="A220" i="3"/>
  <c r="C219" i="3"/>
  <c r="C223" i="3"/>
  <c r="A224" i="3"/>
  <c r="C214" i="3"/>
  <c r="A215" i="3"/>
  <c r="C210" i="3"/>
  <c r="A211" i="3"/>
  <c r="C211" i="3" s="1"/>
  <c r="A225" i="3" l="1"/>
  <c r="C224" i="3"/>
  <c r="C228" i="3"/>
  <c r="A229" i="3"/>
  <c r="A237" i="3"/>
  <c r="B232" i="3"/>
  <c r="B233" i="3" s="1"/>
  <c r="B234" i="3" s="1"/>
  <c r="B235" i="3" s="1"/>
  <c r="B236" i="3" s="1"/>
  <c r="C232" i="3"/>
  <c r="A233" i="3"/>
  <c r="C220" i="3"/>
  <c r="A221" i="3"/>
  <c r="C221" i="3" s="1"/>
  <c r="A216" i="3"/>
  <c r="C216" i="3" s="1"/>
  <c r="C215" i="3"/>
  <c r="C225" i="3" l="1"/>
  <c r="A226" i="3"/>
  <c r="C226" i="3" s="1"/>
  <c r="A234" i="3"/>
  <c r="C233" i="3"/>
  <c r="A230" i="3"/>
  <c r="C229" i="3"/>
  <c r="A242" i="3"/>
  <c r="B237" i="3"/>
  <c r="B238" i="3" s="1"/>
  <c r="B239" i="3" s="1"/>
  <c r="B240" i="3" s="1"/>
  <c r="B241" i="3" s="1"/>
  <c r="C237" i="3"/>
  <c r="A238" i="3"/>
  <c r="C242" i="3" l="1"/>
  <c r="A243" i="3"/>
  <c r="A247" i="3"/>
  <c r="B242" i="3"/>
  <c r="B243" i="3" s="1"/>
  <c r="B244" i="3" s="1"/>
  <c r="B245" i="3" s="1"/>
  <c r="B246" i="3" s="1"/>
  <c r="C234" i="3"/>
  <c r="A235" i="3"/>
  <c r="C238" i="3"/>
  <c r="A239" i="3"/>
  <c r="C230" i="3"/>
  <c r="A231" i="3"/>
  <c r="C231" i="3" s="1"/>
  <c r="C247" i="3" l="1"/>
  <c r="A248" i="3"/>
  <c r="A252" i="3"/>
  <c r="B247" i="3"/>
  <c r="B248" i="3" s="1"/>
  <c r="B249" i="3" s="1"/>
  <c r="B250" i="3" s="1"/>
  <c r="B251" i="3" s="1"/>
  <c r="C235" i="3"/>
  <c r="A236" i="3"/>
  <c r="C236" i="3" s="1"/>
  <c r="C243" i="3"/>
  <c r="A244" i="3"/>
  <c r="C239" i="3"/>
  <c r="A240" i="3"/>
  <c r="C244" i="3" l="1"/>
  <c r="A245" i="3"/>
  <c r="A253" i="3"/>
  <c r="A257" i="3"/>
  <c r="C252" i="3"/>
  <c r="B252" i="3"/>
  <c r="B253" i="3" s="1"/>
  <c r="B254" i="3" s="1"/>
  <c r="B255" i="3" s="1"/>
  <c r="B256" i="3" s="1"/>
  <c r="A241" i="3"/>
  <c r="C241" i="3" s="1"/>
  <c r="C240" i="3"/>
  <c r="A249" i="3"/>
  <c r="C248" i="3"/>
  <c r="B257" i="3" l="1"/>
  <c r="B258" i="3" s="1"/>
  <c r="B259" i="3" s="1"/>
  <c r="B260" i="3" s="1"/>
  <c r="B261" i="3" s="1"/>
  <c r="C257" i="3"/>
  <c r="A258" i="3"/>
  <c r="A262" i="3"/>
  <c r="A254" i="3"/>
  <c r="C253" i="3"/>
  <c r="C245" i="3"/>
  <c r="A246" i="3"/>
  <c r="C246" i="3" s="1"/>
  <c r="A250" i="3"/>
  <c r="C249" i="3"/>
  <c r="C250" i="3" l="1"/>
  <c r="A251" i="3"/>
  <c r="C251" i="3" s="1"/>
  <c r="C254" i="3"/>
  <c r="A255" i="3"/>
  <c r="B262" i="3"/>
  <c r="B263" i="3" s="1"/>
  <c r="B264" i="3" s="1"/>
  <c r="B265" i="3" s="1"/>
  <c r="B266" i="3" s="1"/>
  <c r="A267" i="3"/>
  <c r="C262" i="3"/>
  <c r="A263" i="3"/>
  <c r="C258" i="3"/>
  <c r="A259" i="3"/>
  <c r="C263" i="3" l="1"/>
  <c r="A264" i="3"/>
  <c r="C255" i="3"/>
  <c r="A256" i="3"/>
  <c r="C256" i="3" s="1"/>
  <c r="A260" i="3"/>
  <c r="C259" i="3"/>
  <c r="A272" i="3"/>
  <c r="B267" i="3"/>
  <c r="B268" i="3" s="1"/>
  <c r="B269" i="3" s="1"/>
  <c r="B270" i="3" s="1"/>
  <c r="B271" i="3" s="1"/>
  <c r="C267" i="3"/>
  <c r="A268" i="3"/>
  <c r="B272" i="3" l="1"/>
  <c r="B273" i="3" s="1"/>
  <c r="B274" i="3" s="1"/>
  <c r="B275" i="3" s="1"/>
  <c r="B276" i="3" s="1"/>
  <c r="C272" i="3"/>
  <c r="A273" i="3"/>
  <c r="A277" i="3"/>
  <c r="C268" i="3"/>
  <c r="A269" i="3"/>
  <c r="A265" i="3"/>
  <c r="C264" i="3"/>
  <c r="C260" i="3"/>
  <c r="A261" i="3"/>
  <c r="C261" i="3" s="1"/>
  <c r="C277" i="3" l="1"/>
  <c r="A278" i="3"/>
  <c r="A282" i="3"/>
  <c r="B277" i="3"/>
  <c r="B278" i="3" s="1"/>
  <c r="B279" i="3" s="1"/>
  <c r="B280" i="3" s="1"/>
  <c r="B281" i="3" s="1"/>
  <c r="C265" i="3"/>
  <c r="A266" i="3"/>
  <c r="C266" i="3" s="1"/>
  <c r="C273" i="3"/>
  <c r="A274" i="3"/>
  <c r="C269" i="3"/>
  <c r="A270" i="3"/>
  <c r="A275" i="3" l="1"/>
  <c r="C274" i="3"/>
  <c r="B282" i="3"/>
  <c r="B283" i="3" s="1"/>
  <c r="B284" i="3" s="1"/>
  <c r="B285" i="3" s="1"/>
  <c r="B286" i="3" s="1"/>
  <c r="A283" i="3"/>
  <c r="A287" i="3"/>
  <c r="C282" i="3"/>
  <c r="C270" i="3"/>
  <c r="A271" i="3"/>
  <c r="C271" i="3" s="1"/>
  <c r="C278" i="3"/>
  <c r="A279" i="3"/>
  <c r="C283" i="3" l="1"/>
  <c r="A284" i="3"/>
  <c r="C279" i="3"/>
  <c r="A280" i="3"/>
  <c r="A292" i="3"/>
  <c r="B287" i="3"/>
  <c r="B288" i="3" s="1"/>
  <c r="B289" i="3" s="1"/>
  <c r="B290" i="3" s="1"/>
  <c r="B291" i="3" s="1"/>
  <c r="C287" i="3"/>
  <c r="A288" i="3"/>
  <c r="C275" i="3"/>
  <c r="A276" i="3"/>
  <c r="C276" i="3" s="1"/>
  <c r="A289" i="3" l="1"/>
  <c r="C288" i="3"/>
  <c r="C280" i="3"/>
  <c r="A281" i="3"/>
  <c r="C281" i="3" s="1"/>
  <c r="A285" i="3"/>
  <c r="C284" i="3"/>
  <c r="A293" i="3"/>
  <c r="A297" i="3"/>
  <c r="B292" i="3"/>
  <c r="B293" i="3" s="1"/>
  <c r="B294" i="3" s="1"/>
  <c r="B295" i="3" s="1"/>
  <c r="B296" i="3" s="1"/>
  <c r="C292" i="3"/>
  <c r="A298" i="3" l="1"/>
  <c r="A302" i="3"/>
  <c r="B297" i="3"/>
  <c r="B298" i="3" s="1"/>
  <c r="B299" i="3" s="1"/>
  <c r="B300" i="3" s="1"/>
  <c r="B301" i="3" s="1"/>
  <c r="C297" i="3"/>
  <c r="A294" i="3"/>
  <c r="C293" i="3"/>
  <c r="A286" i="3"/>
  <c r="C286" i="3" s="1"/>
  <c r="C285" i="3"/>
  <c r="C289" i="3"/>
  <c r="A290" i="3"/>
  <c r="C290" i="3" l="1"/>
  <c r="A291" i="3"/>
  <c r="C291" i="3" s="1"/>
  <c r="B302" i="3"/>
  <c r="B303" i="3" s="1"/>
  <c r="B304" i="3" s="1"/>
  <c r="B305" i="3" s="1"/>
  <c r="B306" i="3" s="1"/>
  <c r="A303" i="3"/>
  <c r="C302" i="3"/>
  <c r="A307" i="3"/>
  <c r="C294" i="3"/>
  <c r="A295" i="3"/>
  <c r="C298" i="3"/>
  <c r="A299" i="3"/>
  <c r="C295" i="3" l="1"/>
  <c r="A296" i="3"/>
  <c r="C296" i="3" s="1"/>
  <c r="C303" i="3"/>
  <c r="A304" i="3"/>
  <c r="A300" i="3"/>
  <c r="C299" i="3"/>
  <c r="B307" i="3"/>
  <c r="B308" i="3" s="1"/>
  <c r="B309" i="3" s="1"/>
  <c r="B310" i="3" s="1"/>
  <c r="B311" i="3" s="1"/>
  <c r="C307" i="3"/>
  <c r="A308" i="3"/>
  <c r="A312" i="3"/>
  <c r="C304" i="3" l="1"/>
  <c r="A305" i="3"/>
  <c r="A317" i="3"/>
  <c r="B312" i="3"/>
  <c r="B313" i="3" s="1"/>
  <c r="B314" i="3" s="1"/>
  <c r="B315" i="3" s="1"/>
  <c r="B316" i="3" s="1"/>
  <c r="C312" i="3"/>
  <c r="A313" i="3"/>
  <c r="C308" i="3"/>
  <c r="A309" i="3"/>
  <c r="A301" i="3"/>
  <c r="C301" i="3" s="1"/>
  <c r="C300" i="3"/>
  <c r="C309" i="3" l="1"/>
  <c r="A310" i="3"/>
  <c r="A318" i="3"/>
  <c r="A322" i="3"/>
  <c r="B317" i="3"/>
  <c r="B318" i="3" s="1"/>
  <c r="B319" i="3" s="1"/>
  <c r="B320" i="3" s="1"/>
  <c r="B321" i="3" s="1"/>
  <c r="C317" i="3"/>
  <c r="C313" i="3"/>
  <c r="A314" i="3"/>
  <c r="A306" i="3"/>
  <c r="C306" i="3" s="1"/>
  <c r="C305" i="3"/>
  <c r="C314" i="3" l="1"/>
  <c r="A315" i="3"/>
  <c r="A323" i="3"/>
  <c r="A327" i="3"/>
  <c r="B322" i="3"/>
  <c r="B323" i="3" s="1"/>
  <c r="B324" i="3" s="1"/>
  <c r="B325" i="3" s="1"/>
  <c r="B326" i="3" s="1"/>
  <c r="C322" i="3"/>
  <c r="C318" i="3"/>
  <c r="A319" i="3"/>
  <c r="A311" i="3"/>
  <c r="C311" i="3" s="1"/>
  <c r="C310" i="3"/>
  <c r="C319" i="3" l="1"/>
  <c r="A320" i="3"/>
  <c r="C327" i="3"/>
  <c r="A328" i="3"/>
  <c r="A332" i="3"/>
  <c r="B327" i="3"/>
  <c r="B328" i="3" s="1"/>
  <c r="B329" i="3" s="1"/>
  <c r="B330" i="3" s="1"/>
  <c r="B331" i="3" s="1"/>
  <c r="C323" i="3"/>
  <c r="A324" i="3"/>
  <c r="C315" i="3"/>
  <c r="A316" i="3"/>
  <c r="C316" i="3" s="1"/>
  <c r="C324" i="3" l="1"/>
  <c r="A325" i="3"/>
  <c r="A329" i="3"/>
  <c r="C328" i="3"/>
  <c r="A321" i="3"/>
  <c r="C321" i="3" s="1"/>
  <c r="C320" i="3"/>
  <c r="A337" i="3"/>
  <c r="A333" i="3"/>
  <c r="B332" i="3"/>
  <c r="B333" i="3" s="1"/>
  <c r="B334" i="3" s="1"/>
  <c r="B335" i="3" s="1"/>
  <c r="B336" i="3" s="1"/>
  <c r="C332" i="3"/>
  <c r="A334" i="3" l="1"/>
  <c r="C333" i="3"/>
  <c r="B337" i="3"/>
  <c r="B338" i="3" s="1"/>
  <c r="B339" i="3" s="1"/>
  <c r="B340" i="3" s="1"/>
  <c r="B341" i="3" s="1"/>
  <c r="A342" i="3"/>
  <c r="A338" i="3"/>
  <c r="C337" i="3"/>
  <c r="C329" i="3"/>
  <c r="A330" i="3"/>
  <c r="C325" i="3"/>
  <c r="A326" i="3"/>
  <c r="C326" i="3" s="1"/>
  <c r="A331" i="3" l="1"/>
  <c r="C331" i="3" s="1"/>
  <c r="C330" i="3"/>
  <c r="B342" i="3"/>
  <c r="B343" i="3" s="1"/>
  <c r="B344" i="3" s="1"/>
  <c r="B345" i="3" s="1"/>
  <c r="B346" i="3" s="1"/>
  <c r="A347" i="3"/>
  <c r="C342" i="3"/>
  <c r="A343" i="3"/>
  <c r="A339" i="3"/>
  <c r="C338" i="3"/>
  <c r="C334" i="3"/>
  <c r="A335" i="3"/>
  <c r="B347" i="3" l="1"/>
  <c r="B348" i="3" s="1"/>
  <c r="B349" i="3" s="1"/>
  <c r="B350" i="3" s="1"/>
  <c r="B351" i="3" s="1"/>
  <c r="A352" i="3"/>
  <c r="A348" i="3"/>
  <c r="C347" i="3"/>
  <c r="A340" i="3"/>
  <c r="C339" i="3"/>
  <c r="C335" i="3"/>
  <c r="A336" i="3"/>
  <c r="C336" i="3" s="1"/>
  <c r="C343" i="3"/>
  <c r="A344" i="3"/>
  <c r="C340" i="3" l="1"/>
  <c r="A341" i="3"/>
  <c r="C341" i="3" s="1"/>
  <c r="C348" i="3"/>
  <c r="A349" i="3"/>
  <c r="C344" i="3"/>
  <c r="A345" i="3"/>
  <c r="B352" i="3"/>
  <c r="B353" i="3" s="1"/>
  <c r="B354" i="3" s="1"/>
  <c r="B355" i="3" s="1"/>
  <c r="B356" i="3" s="1"/>
  <c r="C352" i="3"/>
  <c r="A353" i="3"/>
  <c r="A357" i="3"/>
  <c r="C349" i="3" l="1"/>
  <c r="A350" i="3"/>
  <c r="A358" i="3"/>
  <c r="A362" i="3"/>
  <c r="C357" i="3"/>
  <c r="B357" i="3"/>
  <c r="B358" i="3" s="1"/>
  <c r="B359" i="3" s="1"/>
  <c r="B360" i="3" s="1"/>
  <c r="B361" i="3" s="1"/>
  <c r="C345" i="3"/>
  <c r="A346" i="3"/>
  <c r="C346" i="3" s="1"/>
  <c r="A354" i="3"/>
  <c r="C353" i="3"/>
  <c r="B362" i="3" l="1"/>
  <c r="B363" i="3" s="1"/>
  <c r="B364" i="3" s="1"/>
  <c r="B365" i="3" s="1"/>
  <c r="B366" i="3" s="1"/>
  <c r="C362" i="3"/>
  <c r="A363" i="3"/>
  <c r="A359" i="3"/>
  <c r="C358" i="3"/>
  <c r="A351" i="3"/>
  <c r="C351" i="3" s="1"/>
  <c r="C350" i="3"/>
  <c r="C354" i="3"/>
  <c r="A355" i="3"/>
  <c r="A356" i="3" l="1"/>
  <c r="C356" i="3" s="1"/>
  <c r="C355" i="3"/>
  <c r="A360" i="3"/>
  <c r="C359" i="3"/>
  <c r="C363" i="3"/>
  <c r="A364" i="3"/>
  <c r="C360" i="3" l="1"/>
  <c r="A361" i="3"/>
  <c r="C361" i="3" s="1"/>
  <c r="C364" i="3"/>
  <c r="A365" i="3"/>
  <c r="A366" i="3" l="1"/>
  <c r="C366" i="3" s="1"/>
  <c r="C365" i="3"/>
</calcChain>
</file>

<file path=xl/comments1.xml><?xml version="1.0" encoding="utf-8"?>
<comments xmlns="http://schemas.openxmlformats.org/spreadsheetml/2006/main">
  <authors>
    <author>Efrain Marcelo</author>
  </authors>
  <commentList>
    <comment ref="W2" authorId="0">
      <text>
        <r>
          <rPr>
            <b/>
            <sz val="9"/>
            <color indexed="81"/>
            <rFont val="Tahoma"/>
            <family val="2"/>
          </rPr>
          <t>Efrain Marcelo:</t>
        </r>
        <r>
          <rPr>
            <sz val="9"/>
            <color indexed="81"/>
            <rFont val="Tahoma"/>
            <family val="2"/>
          </rPr>
          <t xml:space="preserve">
CAMBIAR MONTO DE LA CUENTA INICIAL AL MES
</t>
        </r>
      </text>
    </comment>
    <comment ref="Z2" authorId="0">
      <text>
        <r>
          <rPr>
            <b/>
            <sz val="9"/>
            <color indexed="81"/>
            <rFont val="Tahoma"/>
            <family val="2"/>
          </rPr>
          <t>Efrain Marcelo:</t>
        </r>
        <r>
          <rPr>
            <sz val="9"/>
            <color indexed="81"/>
            <rFont val="Tahoma"/>
            <family val="2"/>
          </rPr>
          <t xml:space="preserve">
MODIFICAR EL OBJETIVO DIARIO</t>
        </r>
      </text>
    </comment>
    <comment ref="AF2" authorId="0">
      <text>
        <r>
          <rPr>
            <b/>
            <sz val="9"/>
            <color indexed="81"/>
            <rFont val="Tahoma"/>
            <family val="2"/>
          </rPr>
          <t>Efrain Marcelo:</t>
        </r>
        <r>
          <rPr>
            <sz val="9"/>
            <color indexed="81"/>
            <rFont val="Tahoma"/>
            <family val="2"/>
          </rPr>
          <t xml:space="preserve">
Cuenta N° de operaciones
</t>
        </r>
      </text>
    </comment>
    <comment ref="AF5" authorId="0">
      <text>
        <r>
          <rPr>
            <b/>
            <sz val="9"/>
            <color indexed="81"/>
            <rFont val="Tahoma"/>
            <family val="2"/>
          </rPr>
          <t>Efrain Marcelo:</t>
        </r>
        <r>
          <rPr>
            <sz val="9"/>
            <color indexed="81"/>
            <rFont val="Tahoma"/>
            <family val="2"/>
          </rPr>
          <t xml:space="preserve">
Suma total Positivo
</t>
        </r>
      </text>
    </comment>
    <comment ref="AG5" authorId="0">
      <text>
        <r>
          <rPr>
            <b/>
            <sz val="9"/>
            <color indexed="81"/>
            <rFont val="Tahoma"/>
            <family val="2"/>
          </rPr>
          <t>Efrain Marcelo:</t>
        </r>
        <r>
          <rPr>
            <sz val="9"/>
            <color indexed="81"/>
            <rFont val="Tahoma"/>
            <family val="2"/>
          </rPr>
          <t xml:space="preserve">
Suma total Negativo</t>
        </r>
      </text>
    </comment>
    <comment ref="AF6" authorId="0">
      <text>
        <r>
          <rPr>
            <b/>
            <sz val="9"/>
            <color indexed="81"/>
            <rFont val="Tahoma"/>
            <family val="2"/>
          </rPr>
          <t>Efrain Marcelo:</t>
        </r>
        <r>
          <rPr>
            <sz val="9"/>
            <color indexed="81"/>
            <rFont val="Tahoma"/>
            <family val="2"/>
          </rPr>
          <t xml:space="preserve">
cuenta operaciones positivas</t>
        </r>
      </text>
    </comment>
    <comment ref="AG6" authorId="0">
      <text>
        <r>
          <rPr>
            <b/>
            <sz val="9"/>
            <color indexed="81"/>
            <rFont val="Tahoma"/>
            <family val="2"/>
          </rPr>
          <t>Efrain Marcelo:</t>
        </r>
        <r>
          <rPr>
            <sz val="9"/>
            <color indexed="81"/>
            <rFont val="Tahoma"/>
            <family val="2"/>
          </rPr>
          <t xml:space="preserve">
Cuenta operaciones Negativas</t>
        </r>
      </text>
    </comment>
    <comment ref="Z7" authorId="0">
      <text>
        <r>
          <rPr>
            <b/>
            <sz val="9"/>
            <color indexed="81"/>
            <rFont val="Tahoma"/>
            <family val="2"/>
          </rPr>
          <t>Efrain Marcelo:</t>
        </r>
        <r>
          <rPr>
            <sz val="9"/>
            <color indexed="81"/>
            <rFont val="Tahoma"/>
            <family val="2"/>
          </rPr>
          <t xml:space="preserve">
MODIFICAR EL OBJETIVO DIARIO</t>
        </r>
      </text>
    </comment>
    <comment ref="Z12" authorId="0">
      <text>
        <r>
          <rPr>
            <b/>
            <sz val="9"/>
            <color indexed="81"/>
            <rFont val="Tahoma"/>
            <family val="2"/>
          </rPr>
          <t>Efrain Marcelo:</t>
        </r>
        <r>
          <rPr>
            <sz val="9"/>
            <color indexed="81"/>
            <rFont val="Tahoma"/>
            <family val="2"/>
          </rPr>
          <t xml:space="preserve">
MODIFICAR EL OBJETIVO DIARIO</t>
        </r>
      </text>
    </comment>
    <comment ref="Z17" authorId="0">
      <text>
        <r>
          <rPr>
            <b/>
            <sz val="9"/>
            <color indexed="81"/>
            <rFont val="Tahoma"/>
            <family val="2"/>
          </rPr>
          <t>Efrain Marcelo:</t>
        </r>
        <r>
          <rPr>
            <sz val="9"/>
            <color indexed="81"/>
            <rFont val="Tahoma"/>
            <family val="2"/>
          </rPr>
          <t xml:space="preserve">
MODIFICAR EL OBJETIVO DIARIO</t>
        </r>
      </text>
    </comment>
    <comment ref="Z22" authorId="0">
      <text>
        <r>
          <rPr>
            <b/>
            <sz val="9"/>
            <color indexed="81"/>
            <rFont val="Tahoma"/>
            <family val="2"/>
          </rPr>
          <t>Efrain Marcelo:</t>
        </r>
        <r>
          <rPr>
            <sz val="9"/>
            <color indexed="81"/>
            <rFont val="Tahoma"/>
            <family val="2"/>
          </rPr>
          <t xml:space="preserve">
MODIFICAR EL OBJETIVO DIARIO</t>
        </r>
      </text>
    </comment>
    <comment ref="Z27" authorId="0">
      <text>
        <r>
          <rPr>
            <b/>
            <sz val="9"/>
            <color indexed="81"/>
            <rFont val="Tahoma"/>
            <family val="2"/>
          </rPr>
          <t>Efrain Marcelo:</t>
        </r>
        <r>
          <rPr>
            <sz val="9"/>
            <color indexed="81"/>
            <rFont val="Tahoma"/>
            <family val="2"/>
          </rPr>
          <t xml:space="preserve">
MODIFICAR EL OBJETIVO DIARIO</t>
        </r>
      </text>
    </comment>
    <comment ref="Z32" authorId="0">
      <text>
        <r>
          <rPr>
            <b/>
            <sz val="9"/>
            <color indexed="81"/>
            <rFont val="Tahoma"/>
            <family val="2"/>
          </rPr>
          <t>Efrain Marcelo:</t>
        </r>
        <r>
          <rPr>
            <sz val="9"/>
            <color indexed="81"/>
            <rFont val="Tahoma"/>
            <family val="2"/>
          </rPr>
          <t xml:space="preserve">
MODIFICAR EL OBJETIVO DIARIO</t>
        </r>
      </text>
    </comment>
    <comment ref="Z37" authorId="0">
      <text>
        <r>
          <rPr>
            <b/>
            <sz val="9"/>
            <color indexed="81"/>
            <rFont val="Tahoma"/>
            <family val="2"/>
          </rPr>
          <t>Efrain Marcelo:</t>
        </r>
        <r>
          <rPr>
            <sz val="9"/>
            <color indexed="81"/>
            <rFont val="Tahoma"/>
            <family val="2"/>
          </rPr>
          <t xml:space="preserve">
MODIFICAR EL OBJETIVO DIARIO</t>
        </r>
      </text>
    </comment>
    <comment ref="Z42" authorId="0">
      <text>
        <r>
          <rPr>
            <b/>
            <sz val="9"/>
            <color indexed="81"/>
            <rFont val="Tahoma"/>
            <family val="2"/>
          </rPr>
          <t>Efrain Marcelo:</t>
        </r>
        <r>
          <rPr>
            <sz val="9"/>
            <color indexed="81"/>
            <rFont val="Tahoma"/>
            <family val="2"/>
          </rPr>
          <t xml:space="preserve">
MODIFICAR EL OBJETIVO DIARIO</t>
        </r>
      </text>
    </comment>
    <comment ref="Z47" authorId="0">
      <text>
        <r>
          <rPr>
            <b/>
            <sz val="9"/>
            <color indexed="81"/>
            <rFont val="Tahoma"/>
            <family val="2"/>
          </rPr>
          <t>Efrain Marcelo:</t>
        </r>
        <r>
          <rPr>
            <sz val="9"/>
            <color indexed="81"/>
            <rFont val="Tahoma"/>
            <family val="2"/>
          </rPr>
          <t xml:space="preserve">
MODIFICAR EL OBJETIVO DIARIO</t>
        </r>
      </text>
    </comment>
    <comment ref="Z52" authorId="0">
      <text>
        <r>
          <rPr>
            <b/>
            <sz val="9"/>
            <color indexed="81"/>
            <rFont val="Tahoma"/>
            <family val="2"/>
          </rPr>
          <t>Efrain Marcelo:</t>
        </r>
        <r>
          <rPr>
            <sz val="9"/>
            <color indexed="81"/>
            <rFont val="Tahoma"/>
            <family val="2"/>
          </rPr>
          <t xml:space="preserve">
MODIFICAR EL OBJETIVO DIARIO</t>
        </r>
      </text>
    </comment>
    <comment ref="Z57" authorId="0">
      <text>
        <r>
          <rPr>
            <b/>
            <sz val="9"/>
            <color indexed="81"/>
            <rFont val="Tahoma"/>
            <family val="2"/>
          </rPr>
          <t>Efrain Marcelo:</t>
        </r>
        <r>
          <rPr>
            <sz val="9"/>
            <color indexed="81"/>
            <rFont val="Tahoma"/>
            <family val="2"/>
          </rPr>
          <t xml:space="preserve">
MODIFICAR EL OBJETIVO DIARIO</t>
        </r>
      </text>
    </comment>
    <comment ref="Z62" authorId="0">
      <text>
        <r>
          <rPr>
            <b/>
            <sz val="9"/>
            <color indexed="81"/>
            <rFont val="Tahoma"/>
            <family val="2"/>
          </rPr>
          <t>Efrain Marcelo:</t>
        </r>
        <r>
          <rPr>
            <sz val="9"/>
            <color indexed="81"/>
            <rFont val="Tahoma"/>
            <family val="2"/>
          </rPr>
          <t xml:space="preserve">
MODIFICAR EL OBJETIVO DIARIO</t>
        </r>
      </text>
    </comment>
    <comment ref="Z67" authorId="0">
      <text>
        <r>
          <rPr>
            <b/>
            <sz val="9"/>
            <color indexed="81"/>
            <rFont val="Tahoma"/>
            <family val="2"/>
          </rPr>
          <t>Efrain Marcelo:</t>
        </r>
        <r>
          <rPr>
            <sz val="9"/>
            <color indexed="81"/>
            <rFont val="Tahoma"/>
            <family val="2"/>
          </rPr>
          <t xml:space="preserve">
MODIFICAR EL OBJETIVO DIARIO</t>
        </r>
      </text>
    </comment>
    <comment ref="Z72" authorId="0">
      <text>
        <r>
          <rPr>
            <b/>
            <sz val="9"/>
            <color indexed="81"/>
            <rFont val="Tahoma"/>
            <family val="2"/>
          </rPr>
          <t>Efrain Marcelo:</t>
        </r>
        <r>
          <rPr>
            <sz val="9"/>
            <color indexed="81"/>
            <rFont val="Tahoma"/>
            <family val="2"/>
          </rPr>
          <t xml:space="preserve">
MODIFICAR EL OBJETIVO DIARIO</t>
        </r>
      </text>
    </comment>
    <comment ref="Z77" authorId="0">
      <text>
        <r>
          <rPr>
            <b/>
            <sz val="9"/>
            <color indexed="81"/>
            <rFont val="Tahoma"/>
            <family val="2"/>
          </rPr>
          <t>Efrain Marcelo:</t>
        </r>
        <r>
          <rPr>
            <sz val="9"/>
            <color indexed="81"/>
            <rFont val="Tahoma"/>
            <family val="2"/>
          </rPr>
          <t xml:space="preserve">
MODIFICAR EL OBJETIVO DIARIO</t>
        </r>
      </text>
    </comment>
    <comment ref="Z82" authorId="0">
      <text>
        <r>
          <rPr>
            <b/>
            <sz val="9"/>
            <color indexed="81"/>
            <rFont val="Tahoma"/>
            <family val="2"/>
          </rPr>
          <t>Efrain Marcelo:</t>
        </r>
        <r>
          <rPr>
            <sz val="9"/>
            <color indexed="81"/>
            <rFont val="Tahoma"/>
            <family val="2"/>
          </rPr>
          <t xml:space="preserve">
MODIFICAR EL OBJETIVO DIARIO</t>
        </r>
      </text>
    </comment>
    <comment ref="Z87" authorId="0">
      <text>
        <r>
          <rPr>
            <b/>
            <sz val="9"/>
            <color indexed="81"/>
            <rFont val="Tahoma"/>
            <family val="2"/>
          </rPr>
          <t>Efrain Marcelo:</t>
        </r>
        <r>
          <rPr>
            <sz val="9"/>
            <color indexed="81"/>
            <rFont val="Tahoma"/>
            <family val="2"/>
          </rPr>
          <t xml:space="preserve">
MODIFICAR EL OBJETIVO DIARIO</t>
        </r>
      </text>
    </comment>
    <comment ref="Z92" authorId="0">
      <text>
        <r>
          <rPr>
            <b/>
            <sz val="9"/>
            <color indexed="81"/>
            <rFont val="Tahoma"/>
            <family val="2"/>
          </rPr>
          <t>Efrain Marcelo:</t>
        </r>
        <r>
          <rPr>
            <sz val="9"/>
            <color indexed="81"/>
            <rFont val="Tahoma"/>
            <family val="2"/>
          </rPr>
          <t xml:space="preserve">
MODIFICAR EL OBJETIVO DIARIO</t>
        </r>
      </text>
    </comment>
    <comment ref="Z97" authorId="0">
      <text>
        <r>
          <rPr>
            <b/>
            <sz val="9"/>
            <color indexed="81"/>
            <rFont val="Tahoma"/>
            <family val="2"/>
          </rPr>
          <t>Efrain Marcelo:</t>
        </r>
        <r>
          <rPr>
            <sz val="9"/>
            <color indexed="81"/>
            <rFont val="Tahoma"/>
            <family val="2"/>
          </rPr>
          <t xml:space="preserve">
MODIFICAR EL OBJETIVO DIARIO</t>
        </r>
      </text>
    </comment>
    <comment ref="Z102" authorId="0">
      <text>
        <r>
          <rPr>
            <b/>
            <sz val="9"/>
            <color indexed="81"/>
            <rFont val="Tahoma"/>
            <family val="2"/>
          </rPr>
          <t>Efrain Marcelo:</t>
        </r>
        <r>
          <rPr>
            <sz val="9"/>
            <color indexed="81"/>
            <rFont val="Tahoma"/>
            <family val="2"/>
          </rPr>
          <t xml:space="preserve">
MODIFICAR EL OBJETIVO DIARIO</t>
        </r>
      </text>
    </comment>
    <comment ref="Z107" authorId="0">
      <text>
        <r>
          <rPr>
            <b/>
            <sz val="9"/>
            <color indexed="81"/>
            <rFont val="Tahoma"/>
            <family val="2"/>
          </rPr>
          <t>Efrain Marcelo:</t>
        </r>
        <r>
          <rPr>
            <sz val="9"/>
            <color indexed="81"/>
            <rFont val="Tahoma"/>
            <family val="2"/>
          </rPr>
          <t xml:space="preserve">
MODIFICAR EL OBJETIVO DIARIO</t>
        </r>
      </text>
    </comment>
    <comment ref="Z112" authorId="0">
      <text>
        <r>
          <rPr>
            <b/>
            <sz val="9"/>
            <color indexed="81"/>
            <rFont val="Tahoma"/>
            <family val="2"/>
          </rPr>
          <t>Efrain Marcelo:</t>
        </r>
        <r>
          <rPr>
            <sz val="9"/>
            <color indexed="81"/>
            <rFont val="Tahoma"/>
            <family val="2"/>
          </rPr>
          <t xml:space="preserve">
MODIFICAR EL OBJETIVO DIARIO</t>
        </r>
      </text>
    </comment>
    <comment ref="Z117" authorId="0">
      <text>
        <r>
          <rPr>
            <b/>
            <sz val="9"/>
            <color indexed="81"/>
            <rFont val="Tahoma"/>
            <family val="2"/>
          </rPr>
          <t>Efrain Marcelo:</t>
        </r>
        <r>
          <rPr>
            <sz val="9"/>
            <color indexed="81"/>
            <rFont val="Tahoma"/>
            <family val="2"/>
          </rPr>
          <t xml:space="preserve">
MODIFICAR EL OBJETIVO DIARIO</t>
        </r>
      </text>
    </comment>
    <comment ref="Z122" authorId="0">
      <text>
        <r>
          <rPr>
            <b/>
            <sz val="9"/>
            <color indexed="81"/>
            <rFont val="Tahoma"/>
            <family val="2"/>
          </rPr>
          <t>Efrain Marcelo:</t>
        </r>
        <r>
          <rPr>
            <sz val="9"/>
            <color indexed="81"/>
            <rFont val="Tahoma"/>
            <family val="2"/>
          </rPr>
          <t xml:space="preserve">
MODIFICAR EL OBJETIVO DIARIO</t>
        </r>
      </text>
    </comment>
    <comment ref="Z127" authorId="0">
      <text>
        <r>
          <rPr>
            <b/>
            <sz val="9"/>
            <color indexed="81"/>
            <rFont val="Tahoma"/>
            <family val="2"/>
          </rPr>
          <t>Efrain Marcelo:</t>
        </r>
        <r>
          <rPr>
            <sz val="9"/>
            <color indexed="81"/>
            <rFont val="Tahoma"/>
            <family val="2"/>
          </rPr>
          <t xml:space="preserve">
MODIFICAR EL OBJETIVO DIARIO</t>
        </r>
      </text>
    </comment>
    <comment ref="Z132" authorId="0">
      <text>
        <r>
          <rPr>
            <b/>
            <sz val="9"/>
            <color indexed="81"/>
            <rFont val="Tahoma"/>
            <family val="2"/>
          </rPr>
          <t>Efrain Marcelo:</t>
        </r>
        <r>
          <rPr>
            <sz val="9"/>
            <color indexed="81"/>
            <rFont val="Tahoma"/>
            <family val="2"/>
          </rPr>
          <t xml:space="preserve">
MODIFICAR EL OBJETIVO DIARIO</t>
        </r>
      </text>
    </comment>
    <comment ref="Z137" authorId="0">
      <text>
        <r>
          <rPr>
            <b/>
            <sz val="9"/>
            <color indexed="81"/>
            <rFont val="Tahoma"/>
            <family val="2"/>
          </rPr>
          <t>Efrain Marcelo:</t>
        </r>
        <r>
          <rPr>
            <sz val="9"/>
            <color indexed="81"/>
            <rFont val="Tahoma"/>
            <family val="2"/>
          </rPr>
          <t xml:space="preserve">
MODIFICAR EL OBJETIVO DIARIO</t>
        </r>
      </text>
    </comment>
    <comment ref="Z142" authorId="0">
      <text>
        <r>
          <rPr>
            <b/>
            <sz val="9"/>
            <color indexed="81"/>
            <rFont val="Tahoma"/>
            <family val="2"/>
          </rPr>
          <t>Efrain Marcelo:</t>
        </r>
        <r>
          <rPr>
            <sz val="9"/>
            <color indexed="81"/>
            <rFont val="Tahoma"/>
            <family val="2"/>
          </rPr>
          <t xml:space="preserve">
MODIFICAR EL OBJETIVO DIARIO</t>
        </r>
      </text>
    </comment>
    <comment ref="Z147" authorId="0">
      <text>
        <r>
          <rPr>
            <b/>
            <sz val="9"/>
            <color indexed="81"/>
            <rFont val="Tahoma"/>
            <family val="2"/>
          </rPr>
          <t>Efrain Marcelo:</t>
        </r>
        <r>
          <rPr>
            <sz val="9"/>
            <color indexed="81"/>
            <rFont val="Tahoma"/>
            <family val="2"/>
          </rPr>
          <t xml:space="preserve">
MODIFICAR EL OBJETIVO DIARIO</t>
        </r>
      </text>
    </comment>
    <comment ref="Z152" authorId="0">
      <text>
        <r>
          <rPr>
            <b/>
            <sz val="9"/>
            <color indexed="81"/>
            <rFont val="Tahoma"/>
            <family val="2"/>
          </rPr>
          <t>Efrain Marcelo:</t>
        </r>
        <r>
          <rPr>
            <sz val="9"/>
            <color indexed="81"/>
            <rFont val="Tahoma"/>
            <family val="2"/>
          </rPr>
          <t xml:space="preserve">
MODIFICAR EL OBJETIVO DIARIO</t>
        </r>
      </text>
    </comment>
    <comment ref="Z157" authorId="0">
      <text>
        <r>
          <rPr>
            <b/>
            <sz val="9"/>
            <color indexed="81"/>
            <rFont val="Tahoma"/>
            <family val="2"/>
          </rPr>
          <t>Efrain Marcelo:</t>
        </r>
        <r>
          <rPr>
            <sz val="9"/>
            <color indexed="81"/>
            <rFont val="Tahoma"/>
            <family val="2"/>
          </rPr>
          <t xml:space="preserve">
MODIFICAR EL OBJETIVO DIARIO</t>
        </r>
      </text>
    </comment>
  </commentList>
</comments>
</file>

<file path=xl/sharedStrings.xml><?xml version="1.0" encoding="utf-8"?>
<sst xmlns="http://schemas.openxmlformats.org/spreadsheetml/2006/main" count="248" uniqueCount="89">
  <si>
    <t>DÍAS</t>
  </si>
  <si>
    <t>TIPO DE OPERACIÓN</t>
  </si>
  <si>
    <t>DIFERENCIA EN MONEDA</t>
  </si>
  <si>
    <t>CONSOLIDADO DE TODAS LAS OPERACIONES</t>
  </si>
  <si>
    <t>RESULTADO DEL DÍA</t>
  </si>
  <si>
    <t>ENTRY STRATEGY</t>
  </si>
  <si>
    <t>DESDE CLUSTER</t>
  </si>
  <si>
    <t>HACIA CLUSTER</t>
  </si>
  <si>
    <t>LALA</t>
  </si>
  <si>
    <t>CLUSTER A CLUSTER</t>
  </si>
  <si>
    <t>TIEMPO DE VUELO</t>
  </si>
  <si>
    <t>EXIT REASON</t>
  </si>
  <si>
    <t>FACTOR 
CONT.MICRO</t>
  </si>
  <si>
    <t>N° CONTRATOS</t>
  </si>
  <si>
    <t>PRECIO DE ENTRADA</t>
  </si>
  <si>
    <t>HORA DE SALIDA</t>
  </si>
  <si>
    <t>HORA DE APERTURA</t>
  </si>
  <si>
    <t>PRECIO DE SALIDA</t>
  </si>
  <si>
    <t>FC</t>
  </si>
  <si>
    <t>FR</t>
  </si>
  <si>
    <t>FECHA</t>
  </si>
  <si>
    <t>SEMANA</t>
  </si>
  <si>
    <t>N°</t>
  </si>
  <si>
    <t>BS</t>
  </si>
  <si>
    <t>NE</t>
  </si>
  <si>
    <t>BUY</t>
  </si>
  <si>
    <t>SELL</t>
  </si>
  <si>
    <t>PF</t>
  </si>
  <si>
    <t>AB</t>
  </si>
  <si>
    <t>Total Positivo</t>
  </si>
  <si>
    <t>Total Negativo</t>
  </si>
  <si>
    <t>Etiquetas de fila</t>
  </si>
  <si>
    <t>Total general</t>
  </si>
  <si>
    <t>Suma de RESULTADO DEL DÍA</t>
  </si>
  <si>
    <t>Suma de PF</t>
  </si>
  <si>
    <t>Suma de AB</t>
  </si>
  <si>
    <t>Suma de Total Positivo</t>
  </si>
  <si>
    <t>Suma de Total Negativo</t>
  </si>
  <si>
    <t>Etiquetas de columna</t>
  </si>
  <si>
    <t>Cuenta mas Objetivo</t>
  </si>
  <si>
    <t>Total Cuenta Real</t>
  </si>
  <si>
    <t>Suma de Total Cuenta Real</t>
  </si>
  <si>
    <t>Suma de Cuenta mas Objetivo</t>
  </si>
  <si>
    <t>Suma de TIEMPO DE VUELO</t>
  </si>
  <si>
    <t>Suma de CONSOLIDADO DE TODAS LAS OPERACIONES</t>
  </si>
  <si>
    <t>N</t>
  </si>
  <si>
    <t>Comision</t>
  </si>
  <si>
    <t>Entered</t>
  </si>
  <si>
    <t>Filled/Canceled</t>
  </si>
  <si>
    <t>Symbol</t>
  </si>
  <si>
    <t>Spread</t>
  </si>
  <si>
    <t>Type</t>
  </si>
  <si>
    <t>Quantity</t>
  </si>
  <si>
    <t>Qty Filled</t>
  </si>
  <si>
    <t>Qty Left</t>
  </si>
  <si>
    <t>Stop</t>
  </si>
  <si>
    <t>Limit</t>
  </si>
  <si>
    <t>Filled Price</t>
  </si>
  <si>
    <t>Order Status</t>
  </si>
  <si>
    <t>Route</t>
  </si>
  <si>
    <t>Duration</t>
  </si>
  <si>
    <t>Group Name</t>
  </si>
  <si>
    <t>Triggered By</t>
  </si>
  <si>
    <t>Advanced</t>
  </si>
  <si>
    <t>Order#</t>
  </si>
  <si>
    <t>Account</t>
  </si>
  <si>
    <t>Originator</t>
  </si>
  <si>
    <t>Commission</t>
  </si>
  <si>
    <t>Contract Exp Date</t>
  </si>
  <si>
    <t>Monto inciado bitacora</t>
  </si>
  <si>
    <t>Diferencia de moneda</t>
  </si>
  <si>
    <t>utilidad</t>
  </si>
  <si>
    <t>Total ganado menos comision</t>
  </si>
  <si>
    <t>PRIMERA ROJA</t>
  </si>
  <si>
    <t>PRIMERA VERDE</t>
  </si>
  <si>
    <t>(Todas)</t>
  </si>
  <si>
    <t>Cuenta N° de Operaciones</t>
  </si>
  <si>
    <t>Perdidad  presupuestada</t>
  </si>
  <si>
    <t>Objetivo presupuestado</t>
  </si>
  <si>
    <t xml:space="preserve"> </t>
  </si>
  <si>
    <t>(en blanco)</t>
  </si>
  <si>
    <t>Buy</t>
  </si>
  <si>
    <t>Filled</t>
  </si>
  <si>
    <t>Day</t>
  </si>
  <si>
    <t>Sell</t>
  </si>
  <si>
    <t>UROut</t>
  </si>
  <si>
    <t>Market</t>
  </si>
  <si>
    <t>M2KH21</t>
  </si>
  <si>
    <t xml:space="preserve">   M2KH21</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</si>
</sst>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F400]h:mm:ss\ AM/PM"/>
    <numFmt numFmtId="165" formatCode="_-[$$-240A]\ * #,##0.00_-;\-[$$-240A]\ * #,##0.00_-;_-[$$-240A]\ * &quot;-&quot;??_-;_-@"/>
    <numFmt numFmtId="166" formatCode="_-[$$-240A]\ * #,##0_-;\-[$$-240A]\ * #,##0_-;_-[$$-240A]\ * &quot;-&quot;??_-;_-@"/>
    <numFmt numFmtId="167" formatCode="0.0"/>
    <numFmt numFmtId="168" formatCode="dddd"/>
    <numFmt numFmtId="169" formatCode="ddd"/>
    <numFmt numFmtId="170" formatCode="_-[$$-240A]\ * #,##0.00_-;\-[$$-240A]\ * #,##0.00_-;_-[$$-240A]\ * &quot;-&quot;??_-;_-@_-"/>
  </numFmts>
  <fonts count="16" x14ac:knownFonts="1">
    <font>
      <sz val="11"/>
      <color theme="1"/>
      <name val="Arial"/>
    </font>
    <font>
      <sz val="11"/>
      <name val="Arial"/>
    </font>
    <font>
      <b/>
      <sz val="10"/>
      <color theme="0"/>
      <name val="Calibri"/>
    </font>
    <font>
      <sz val="10"/>
      <color theme="1"/>
      <name val="Calibri"/>
    </font>
    <font>
      <b/>
      <sz val="10"/>
      <color theme="0"/>
      <name val="Calibri"/>
      <family val="2"/>
    </font>
    <font>
      <b/>
      <sz val="11"/>
      <name val="Calibri"/>
      <family val="2"/>
    </font>
    <font>
      <b/>
      <sz val="11"/>
      <color theme="1"/>
      <name val="Calibri"/>
      <family val="2"/>
    </font>
    <font>
      <sz val="10"/>
      <color theme="1"/>
      <name val="Calibri"/>
      <family val="2"/>
    </font>
    <font>
      <sz val="11"/>
      <color theme="1"/>
      <name val="Arial"/>
    </font>
    <font>
      <sz val="10"/>
      <color theme="0"/>
      <name val="Calibri"/>
      <family val="2"/>
    </font>
    <font>
      <b/>
      <sz val="8"/>
      <name val="Calibri"/>
      <family val="2"/>
    </font>
    <font>
      <sz val="11"/>
      <color rgb="FF000000"/>
      <name val="Arial"/>
      <family val="2"/>
    </font>
    <font>
      <sz val="11"/>
      <color theme="1"/>
      <name val="Arial"/>
      <family val="2"/>
    </font>
    <font>
      <sz val="9"/>
      <color indexed="81"/>
      <name val="Tahoma"/>
      <family val="2"/>
    </font>
    <font>
      <b/>
      <sz val="9"/>
      <color indexed="81"/>
      <name val="Tahoma"/>
      <family val="2"/>
    </font>
    <font>
      <sz val="11"/>
      <name val="Arial"/>
      <family val="2"/>
    </font>
  </fonts>
  <fills count="8">
    <fill>
      <patternFill patternType="none"/>
    </fill>
    <fill>
      <patternFill patternType="gray125"/>
    </fill>
    <fill>
      <patternFill patternType="solid">
        <fgColor rgb="FF7F7F7F"/>
        <bgColor rgb="FF7F7F7F"/>
      </patternFill>
    </fill>
    <fill>
      <patternFill patternType="solid">
        <fgColor theme="4" tint="0.79998168889431442"/>
        <bgColor rgb="FF7F7F7F"/>
      </patternFill>
    </fill>
    <fill>
      <patternFill patternType="solid">
        <fgColor theme="0" tint="-0.249977111117893"/>
        <bgColor indexed="64"/>
      </patternFill>
    </fill>
    <fill>
      <patternFill patternType="solid">
        <fgColor theme="2" tint="-0.499984740745262"/>
        <bgColor indexed="64"/>
      </patternFill>
    </fill>
    <fill>
      <patternFill patternType="solid">
        <fgColor theme="3" tint="0.34998626667073579"/>
        <bgColor indexed="64"/>
      </patternFill>
    </fill>
    <fill>
      <patternFill patternType="solid">
        <fgColor rgb="FFFF0000"/>
        <bgColor indexed="64"/>
      </patternFill>
    </fill>
  </fills>
  <borders count="18">
    <border>
      <left/>
      <right/>
      <top/>
      <bottom/>
      <diagonal/>
    </border>
    <border>
      <left style="medium">
        <color rgb="FF000000"/>
      </left>
      <right style="medium">
        <color rgb="FF000000"/>
      </right>
      <top style="medium">
        <color rgb="FF000000"/>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9" fontId="8" fillId="0" borderId="0" applyFont="0" applyFill="0" applyBorder="0" applyAlignment="0" applyProtection="0"/>
  </cellStyleXfs>
  <cellXfs count="88">
    <xf numFmtId="0" fontId="0" fillId="0" borderId="0" xfId="0" applyFont="1" applyAlignment="1"/>
    <xf numFmtId="0" fontId="0" fillId="0" borderId="0" xfId="0" applyFont="1" applyAlignment="1"/>
    <xf numFmtId="0" fontId="1" fillId="0" borderId="0" xfId="0" applyFont="1" applyFill="1" applyBorder="1" applyAlignment="1"/>
    <xf numFmtId="1" fontId="0" fillId="0" borderId="0" xfId="0" applyNumberFormat="1" applyFont="1" applyAlignment="1"/>
    <xf numFmtId="167" fontId="0" fillId="0" borderId="0" xfId="0" applyNumberFormat="1" applyFont="1" applyAlignment="1"/>
    <xf numFmtId="0" fontId="0" fillId="0" borderId="0" xfId="0" applyFont="1" applyAlignment="1">
      <alignment horizontal="left"/>
    </xf>
    <xf numFmtId="166" fontId="1" fillId="0" borderId="0" xfId="0" applyNumberFormat="1" applyFont="1" applyFill="1" applyBorder="1" applyAlignment="1"/>
    <xf numFmtId="1" fontId="0" fillId="0" borderId="0" xfId="0" applyNumberFormat="1" applyFont="1" applyBorder="1" applyAlignment="1"/>
    <xf numFmtId="166" fontId="9" fillId="5" borderId="0" xfId="0" applyNumberFormat="1" applyFont="1" applyFill="1" applyBorder="1" applyAlignment="1">
      <alignment horizontal="center" vertical="center"/>
    </xf>
    <xf numFmtId="167" fontId="1" fillId="0" borderId="0" xfId="0" applyNumberFormat="1" applyFont="1" applyFill="1" applyBorder="1" applyAlignment="1"/>
    <xf numFmtId="0" fontId="2" fillId="2" borderId="1" xfId="0" applyFont="1" applyFill="1" applyBorder="1" applyAlignment="1" applyProtection="1">
      <alignment horizontal="center" vertical="center" wrapText="1"/>
      <protection locked="0"/>
    </xf>
    <xf numFmtId="0" fontId="4" fillId="2" borderId="1" xfId="0" applyFont="1" applyFill="1" applyBorder="1" applyAlignment="1" applyProtection="1">
      <alignment horizontal="center" vertical="center" wrapText="1"/>
      <protection locked="0"/>
    </xf>
    <xf numFmtId="0" fontId="4" fillId="2" borderId="2" xfId="0" applyFont="1" applyFill="1" applyBorder="1" applyAlignment="1" applyProtection="1">
      <alignment horizontal="center" vertical="center" wrapText="1"/>
      <protection locked="0"/>
    </xf>
    <xf numFmtId="0" fontId="2" fillId="2" borderId="3" xfId="0" applyFont="1" applyFill="1" applyBorder="1" applyAlignment="1" applyProtection="1">
      <alignment horizontal="center" vertical="center" wrapText="1"/>
      <protection locked="0"/>
    </xf>
    <xf numFmtId="0" fontId="4" fillId="2" borderId="3" xfId="0" applyFont="1" applyFill="1" applyBorder="1" applyAlignment="1" applyProtection="1">
      <alignment horizontal="center" vertical="center" wrapText="1"/>
      <protection locked="0"/>
    </xf>
    <xf numFmtId="0" fontId="2" fillId="2" borderId="4" xfId="0" applyFont="1" applyFill="1" applyBorder="1" applyAlignment="1" applyProtection="1">
      <alignment horizontal="center" vertical="center" wrapText="1"/>
      <protection locked="0"/>
    </xf>
    <xf numFmtId="166" fontId="9" fillId="5" borderId="0" xfId="0" applyNumberFormat="1" applyFont="1" applyFill="1" applyBorder="1" applyAlignment="1" applyProtection="1">
      <alignment horizontal="center" vertical="center"/>
      <protection locked="0"/>
    </xf>
    <xf numFmtId="16" fontId="5" fillId="3" borderId="6" xfId="0" applyNumberFormat="1" applyFont="1" applyFill="1" applyBorder="1" applyAlignment="1" applyProtection="1">
      <alignment vertical="center" readingOrder="2"/>
      <protection locked="0"/>
    </xf>
    <xf numFmtId="0" fontId="5" fillId="3" borderId="6" xfId="0" applyFont="1" applyFill="1" applyBorder="1" applyAlignment="1" applyProtection="1">
      <alignment vertical="center" readingOrder="2"/>
      <protection locked="0"/>
    </xf>
    <xf numFmtId="0" fontId="3" fillId="0" borderId="5" xfId="0" applyFont="1" applyFill="1" applyBorder="1" applyAlignment="1" applyProtection="1">
      <alignment horizontal="center" vertical="center"/>
      <protection locked="0"/>
    </xf>
    <xf numFmtId="0" fontId="6" fillId="0" borderId="5" xfId="0"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5" fontId="3" fillId="0" borderId="5" xfId="0" applyNumberFormat="1" applyFont="1" applyFill="1" applyBorder="1" applyAlignment="1" applyProtection="1">
      <alignment horizontal="center" vertical="center"/>
      <protection locked="0"/>
    </xf>
    <xf numFmtId="20" fontId="3" fillId="4" borderId="5" xfId="0" applyNumberFormat="1" applyFont="1" applyFill="1" applyBorder="1" applyAlignment="1" applyProtection="1">
      <alignment horizontal="center" vertical="center"/>
      <protection locked="0"/>
    </xf>
    <xf numFmtId="165" fontId="3" fillId="4" borderId="5" xfId="0" applyNumberFormat="1" applyFont="1" applyFill="1" applyBorder="1" applyAlignment="1" applyProtection="1">
      <alignment horizontal="center" vertical="center"/>
      <protection locked="0"/>
    </xf>
    <xf numFmtId="0" fontId="3" fillId="4" borderId="5" xfId="0" applyFont="1" applyFill="1" applyBorder="1" applyAlignment="1" applyProtection="1">
      <alignment horizontal="center" vertical="center"/>
      <protection locked="0"/>
    </xf>
    <xf numFmtId="1" fontId="3" fillId="0" borderId="5" xfId="0" applyNumberFormat="1" applyFont="1" applyFill="1" applyBorder="1" applyAlignment="1" applyProtection="1">
      <alignment horizontal="center" vertical="center"/>
      <protection locked="0"/>
    </xf>
    <xf numFmtId="167" fontId="3" fillId="0" borderId="5" xfId="0" applyNumberFormat="1" applyFont="1" applyFill="1" applyBorder="1" applyAlignment="1" applyProtection="1">
      <alignment horizontal="center" vertical="center"/>
      <protection locked="0"/>
    </xf>
    <xf numFmtId="166" fontId="3" fillId="4" borderId="5" xfId="0" applyNumberFormat="1" applyFont="1" applyFill="1" applyBorder="1" applyAlignment="1" applyProtection="1">
      <alignment horizontal="center" vertical="center"/>
      <protection locked="0"/>
    </xf>
    <xf numFmtId="1" fontId="3" fillId="0" borderId="0" xfId="0" applyNumberFormat="1" applyFont="1" applyFill="1" applyBorder="1" applyAlignment="1" applyProtection="1">
      <alignment horizontal="center" vertical="center"/>
      <protection locked="0"/>
    </xf>
    <xf numFmtId="166" fontId="1" fillId="0" borderId="0" xfId="0" applyNumberFormat="1" applyFont="1" applyFill="1" applyBorder="1" applyAlignment="1" applyProtection="1">
      <protection locked="0"/>
    </xf>
    <xf numFmtId="16" fontId="5" fillId="3" borderId="7" xfId="0" applyNumberFormat="1" applyFont="1" applyFill="1" applyBorder="1" applyAlignment="1" applyProtection="1">
      <alignment vertical="center" readingOrder="2"/>
      <protection locked="0"/>
    </xf>
    <xf numFmtId="0" fontId="5" fillId="3" borderId="7" xfId="0" applyFont="1" applyFill="1" applyBorder="1" applyAlignment="1" applyProtection="1">
      <alignment vertical="center" readingOrder="2"/>
      <protection locked="0"/>
    </xf>
    <xf numFmtId="16" fontId="5" fillId="3" borderId="8" xfId="0" applyNumberFormat="1" applyFont="1" applyFill="1" applyBorder="1" applyAlignment="1" applyProtection="1">
      <alignment vertical="center" readingOrder="2"/>
      <protection locked="0"/>
    </xf>
    <xf numFmtId="0" fontId="5" fillId="3" borderId="8" xfId="0" applyFont="1" applyFill="1" applyBorder="1" applyAlignment="1" applyProtection="1">
      <alignment vertical="center" readingOrder="2"/>
      <protection locked="0"/>
    </xf>
    <xf numFmtId="165" fontId="7" fillId="0" borderId="5" xfId="0" applyNumberFormat="1" applyFont="1" applyFill="1" applyBorder="1" applyAlignment="1" applyProtection="1">
      <alignment horizontal="center" vertical="center"/>
      <protection locked="0"/>
    </xf>
    <xf numFmtId="0" fontId="3" fillId="0" borderId="9" xfId="0" applyFont="1" applyFill="1" applyBorder="1" applyAlignment="1" applyProtection="1">
      <alignment horizontal="center" vertical="center"/>
      <protection locked="0"/>
    </xf>
    <xf numFmtId="0" fontId="5" fillId="3" borderId="10" xfId="0" applyFont="1" applyFill="1" applyBorder="1" applyAlignment="1" applyProtection="1">
      <alignment vertical="center" readingOrder="2"/>
      <protection locked="0"/>
    </xf>
    <xf numFmtId="0" fontId="5" fillId="3" borderId="11" xfId="0" applyFont="1" applyFill="1" applyBorder="1" applyAlignment="1" applyProtection="1">
      <alignment vertical="center" readingOrder="2"/>
      <protection locked="0"/>
    </xf>
    <xf numFmtId="0" fontId="5" fillId="3" borderId="12" xfId="0" applyFont="1" applyFill="1" applyBorder="1" applyAlignment="1" applyProtection="1">
      <alignment vertical="center" readingOrder="2"/>
      <protection locked="0"/>
    </xf>
    <xf numFmtId="166" fontId="3" fillId="0" borderId="5" xfId="0" applyNumberFormat="1" applyFont="1" applyFill="1" applyBorder="1" applyAlignment="1" applyProtection="1">
      <alignment horizontal="center" vertical="center"/>
      <protection locked="0"/>
    </xf>
    <xf numFmtId="0" fontId="0" fillId="0" borderId="0" xfId="0" pivotButton="1" applyFont="1" applyAlignment="1"/>
    <xf numFmtId="16" fontId="0" fillId="0" borderId="0" xfId="0" applyNumberFormat="1" applyFont="1" applyAlignment="1">
      <alignment horizontal="left"/>
    </xf>
    <xf numFmtId="0" fontId="0" fillId="0" borderId="0" xfId="0" applyNumberFormat="1" applyFont="1" applyAlignment="1"/>
    <xf numFmtId="0" fontId="0" fillId="0" borderId="0" xfId="0" applyFont="1" applyFill="1" applyAlignment="1"/>
    <xf numFmtId="16" fontId="0" fillId="0" borderId="0" xfId="0" applyNumberFormat="1" applyFont="1" applyFill="1" applyAlignment="1">
      <alignment horizontal="left"/>
    </xf>
    <xf numFmtId="0" fontId="0" fillId="0" borderId="0" xfId="0" applyNumberFormat="1" applyFont="1" applyFill="1" applyAlignment="1"/>
    <xf numFmtId="168" fontId="0" fillId="0" borderId="0" xfId="0" applyNumberFormat="1" applyFont="1" applyAlignment="1">
      <alignment horizontal="left"/>
    </xf>
    <xf numFmtId="0" fontId="4" fillId="2" borderId="0" xfId="0" applyFont="1" applyFill="1" applyBorder="1" applyAlignment="1" applyProtection="1">
      <alignment horizontal="center" vertical="center" wrapText="1"/>
      <protection locked="0"/>
    </xf>
    <xf numFmtId="20" fontId="0" fillId="0" borderId="0" xfId="0" applyNumberFormat="1" applyFont="1" applyAlignment="1"/>
    <xf numFmtId="0" fontId="0" fillId="6" borderId="0" xfId="0" applyFont="1" applyFill="1" applyAlignment="1"/>
    <xf numFmtId="0" fontId="0" fillId="6" borderId="10" xfId="0" applyFont="1" applyFill="1" applyBorder="1" applyAlignment="1"/>
    <xf numFmtId="0" fontId="0" fillId="6" borderId="13" xfId="0" applyFont="1" applyFill="1" applyBorder="1" applyAlignment="1"/>
    <xf numFmtId="0" fontId="0" fillId="6" borderId="14" xfId="0" applyFont="1" applyFill="1" applyBorder="1" applyAlignment="1"/>
    <xf numFmtId="0" fontId="0" fillId="6" borderId="11" xfId="0" applyFont="1" applyFill="1" applyBorder="1" applyAlignment="1"/>
    <xf numFmtId="0" fontId="0" fillId="6" borderId="0" xfId="0" applyFont="1" applyFill="1" applyBorder="1" applyAlignment="1"/>
    <xf numFmtId="0" fontId="0" fillId="6" borderId="15" xfId="0" applyFont="1" applyFill="1" applyBorder="1" applyAlignment="1"/>
    <xf numFmtId="14" fontId="0" fillId="6" borderId="0" xfId="0" applyNumberFormat="1" applyFont="1" applyFill="1" applyBorder="1" applyAlignment="1"/>
    <xf numFmtId="0" fontId="0" fillId="6" borderId="12" xfId="0" applyFont="1" applyFill="1" applyBorder="1" applyAlignment="1"/>
    <xf numFmtId="0" fontId="0" fillId="6" borderId="16" xfId="0" applyFont="1" applyFill="1" applyBorder="1" applyAlignment="1"/>
    <xf numFmtId="0" fontId="0" fillId="6" borderId="17" xfId="0" applyFont="1" applyFill="1" applyBorder="1" applyAlignment="1"/>
    <xf numFmtId="169" fontId="10" fillId="3" borderId="6" xfId="0" applyNumberFormat="1" applyFont="1" applyFill="1" applyBorder="1" applyAlignment="1" applyProtection="1">
      <alignment horizontal="left" vertical="center" readingOrder="2"/>
      <protection locked="0"/>
    </xf>
    <xf numFmtId="169" fontId="10" fillId="3" borderId="7" xfId="0" applyNumberFormat="1" applyFont="1" applyFill="1" applyBorder="1" applyAlignment="1" applyProtection="1">
      <alignment horizontal="left" vertical="center" readingOrder="2"/>
      <protection locked="0"/>
    </xf>
    <xf numFmtId="169" fontId="10" fillId="3" borderId="8" xfId="0" applyNumberFormat="1" applyFont="1" applyFill="1" applyBorder="1" applyAlignment="1" applyProtection="1">
      <alignment horizontal="left" vertical="center" readingOrder="2"/>
      <protection locked="0"/>
    </xf>
    <xf numFmtId="0" fontId="0" fillId="0" borderId="0" xfId="0"/>
    <xf numFmtId="9" fontId="0" fillId="0" borderId="0" xfId="0" applyNumberFormat="1" applyFont="1" applyAlignment="1"/>
    <xf numFmtId="0" fontId="12" fillId="0" borderId="0" xfId="0" applyFont="1" applyAlignment="1"/>
    <xf numFmtId="16" fontId="0" fillId="0" borderId="0" xfId="0" applyNumberFormat="1" applyFont="1" applyAlignment="1"/>
    <xf numFmtId="164" fontId="7" fillId="0" borderId="5" xfId="0" applyNumberFormat="1" applyFont="1" applyFill="1" applyBorder="1" applyAlignment="1" applyProtection="1">
      <alignment horizontal="center" vertical="center"/>
      <protection locked="0"/>
    </xf>
    <xf numFmtId="1" fontId="7" fillId="0" borderId="5" xfId="0" applyNumberFormat="1" applyFont="1" applyFill="1" applyBorder="1" applyAlignment="1" applyProtection="1">
      <alignment horizontal="center" vertical="center"/>
      <protection locked="0"/>
    </xf>
    <xf numFmtId="167" fontId="7" fillId="0" borderId="5" xfId="0" applyNumberFormat="1" applyFont="1" applyFill="1" applyBorder="1" applyAlignment="1" applyProtection="1">
      <alignment horizontal="center" vertical="center"/>
      <protection locked="0"/>
    </xf>
    <xf numFmtId="2" fontId="9" fillId="5" borderId="0" xfId="0" applyNumberFormat="1" applyFont="1" applyFill="1" applyBorder="1" applyAlignment="1" applyProtection="1">
      <alignment horizontal="center" vertical="center" wrapText="1"/>
      <protection locked="0"/>
    </xf>
    <xf numFmtId="1" fontId="3" fillId="0" borderId="5" xfId="1" applyNumberFormat="1" applyFont="1" applyFill="1" applyBorder="1" applyAlignment="1" applyProtection="1">
      <alignment horizontal="center" vertical="center"/>
      <protection locked="0"/>
    </xf>
    <xf numFmtId="0" fontId="0" fillId="0" borderId="5" xfId="0" applyFont="1" applyBorder="1" applyAlignment="1" applyProtection="1">
      <protection locked="0"/>
    </xf>
    <xf numFmtId="0" fontId="3" fillId="0" borderId="5" xfId="0" applyNumberFormat="1" applyFont="1" applyFill="1" applyBorder="1" applyAlignment="1" applyProtection="1">
      <alignment horizontal="center" vertical="center"/>
      <protection locked="0"/>
    </xf>
    <xf numFmtId="9" fontId="3" fillId="0" borderId="5" xfId="1" applyFont="1" applyFill="1" applyBorder="1" applyAlignment="1" applyProtection="1">
      <alignment horizontal="center" vertical="center"/>
      <protection locked="0"/>
    </xf>
    <xf numFmtId="22" fontId="0" fillId="0" borderId="0" xfId="0" applyNumberFormat="1" applyFont="1" applyAlignment="1"/>
    <xf numFmtId="4" fontId="0" fillId="0" borderId="0" xfId="0" applyNumberFormat="1" applyFont="1" applyAlignment="1"/>
    <xf numFmtId="0" fontId="0" fillId="7" borderId="0" xfId="0" applyFont="1" applyFill="1" applyAlignment="1"/>
    <xf numFmtId="22" fontId="0" fillId="7" borderId="0" xfId="0" applyNumberFormat="1" applyFont="1" applyFill="1" applyAlignment="1"/>
    <xf numFmtId="4" fontId="0" fillId="7" borderId="0" xfId="0" applyNumberFormat="1" applyFont="1" applyFill="1" applyAlignment="1"/>
    <xf numFmtId="1" fontId="3" fillId="0" borderId="0" xfId="0" applyNumberFormat="1" applyFont="1" applyFill="1" applyAlignment="1" applyProtection="1">
      <alignment horizontal="center" vertical="center"/>
      <protection locked="0"/>
    </xf>
    <xf numFmtId="166" fontId="1" fillId="0" borderId="0" xfId="0" applyNumberFormat="1" applyFont="1" applyFill="1" applyAlignment="1" applyProtection="1">
      <protection locked="0"/>
    </xf>
    <xf numFmtId="170" fontId="3" fillId="4" borderId="5" xfId="0" applyNumberFormat="1" applyFont="1" applyFill="1" applyBorder="1" applyAlignment="1" applyProtection="1">
      <alignment horizontal="center" vertical="center"/>
      <protection locked="0"/>
    </xf>
    <xf numFmtId="1" fontId="7" fillId="0" borderId="0" xfId="0" applyNumberFormat="1" applyFont="1" applyFill="1" applyAlignment="1" applyProtection="1">
      <alignment horizontal="center" vertical="center"/>
      <protection locked="0"/>
    </xf>
    <xf numFmtId="166" fontId="15" fillId="0" borderId="0" xfId="0" applyNumberFormat="1" applyFont="1" applyFill="1" applyAlignment="1" applyProtection="1">
      <protection locked="0"/>
    </xf>
    <xf numFmtId="1" fontId="7" fillId="0" borderId="0" xfId="0" applyNumberFormat="1" applyFont="1" applyFill="1" applyBorder="1" applyAlignment="1" applyProtection="1">
      <alignment horizontal="center" vertical="center"/>
      <protection locked="0"/>
    </xf>
    <xf numFmtId="166" fontId="15" fillId="0" borderId="0" xfId="0" applyNumberFormat="1" applyFont="1" applyFill="1" applyBorder="1" applyAlignment="1" applyProtection="1">
      <protection locked="0"/>
    </xf>
  </cellXfs>
  <cellStyles count="2">
    <cellStyle name="Normal" xfId="0" builtinId="0"/>
    <cellStyle name="Porcentaje" xfId="1" builtinId="5"/>
  </cellStyles>
  <dxfs count="537">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00FF00"/>
        </patternFill>
      </fill>
    </dxf>
    <dxf>
      <fill>
        <patternFill>
          <bgColor rgb="FFFF0000"/>
        </patternFill>
      </fill>
    </dxf>
    <dxf>
      <fill>
        <patternFill>
          <bgColor rgb="FFFF0000"/>
        </patternFill>
      </fill>
    </dxf>
    <dxf>
      <fill>
        <patternFill>
          <bgColor rgb="FF00FF00"/>
        </patternFill>
      </fill>
    </dxf>
    <dxf>
      <font>
        <b val="0"/>
        <i val="0"/>
        <strike val="0"/>
        <condense val="0"/>
        <extend val="0"/>
        <outline val="0"/>
        <shadow val="0"/>
        <u val="none"/>
        <vertAlign val="baseline"/>
        <sz val="11"/>
        <color auto="1"/>
        <name val="Arial"/>
        <scheme val="none"/>
      </font>
      <numFmt numFmtId="166" formatCode="_-[$$-240A]\ * #,##0_-;\-[$$-240A]\ * #,##0_-;_-[$$-240A]\ * &quot;-&quot;??_-;_-@"/>
      <fill>
        <patternFill patternType="none">
          <fgColor indexed="64"/>
          <bgColor indexed="65"/>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auto="1"/>
        <name val="Arial"/>
        <scheme val="none"/>
      </font>
      <numFmt numFmtId="166" formatCode="_-[$$-240A]\ * #,##0_-;\-[$$-240A]\ * #,##0_-;_-[$$-240A]\ * &quot;-&quot;??_-;_-@"/>
      <fill>
        <patternFill patternType="none">
          <fgColor indexed="64"/>
          <bgColor indexed="65"/>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0"/>
        <color theme="1"/>
        <name val="Calibri"/>
        <scheme val="none"/>
      </font>
      <numFmt numFmtId="1" formatCode="0"/>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1"/>
        <name val="Calibri"/>
        <scheme val="none"/>
      </font>
      <numFmt numFmtId="166" formatCode="_-[$$-240A]\ * #,##0_-;\-[$$-240A]\ * #,##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theme="1"/>
        <name val="Calibri"/>
        <scheme val="none"/>
      </font>
      <numFmt numFmtId="166" formatCode="_-[$$-240A]\ * #,##0_-;\-[$$-240A]\ * #,##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theme="1"/>
        <name val="Calibri"/>
        <scheme val="none"/>
      </font>
      <numFmt numFmtId="165" formatCode="_-[$$-240A]\ * #,##0.00_-;\-[$$-240A]\ * #,##0.0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theme="1"/>
        <name val="Calibri"/>
        <scheme val="none"/>
      </font>
      <numFmt numFmtId="165" formatCode="_-[$$-240A]\ * #,##0.00_-;\-[$$-240A]\ * #,##0.0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theme="1"/>
        <name val="Calibri"/>
        <scheme val="none"/>
      </font>
      <numFmt numFmtId="165" formatCode="_-[$$-240A]\ * #,##0.00_-;\-[$$-240A]\ * #,##0.0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theme="1"/>
        <name val="Calibri"/>
        <scheme val="none"/>
      </font>
      <numFmt numFmtId="165" formatCode="_-[$$-240A]\ * #,##0.00_-;\-[$$-240A]\ * #,##0.0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10"/>
        <color theme="1"/>
        <name val="Calibri"/>
        <scheme val="none"/>
      </font>
      <numFmt numFmtId="165" formatCode="_-[$$-240A]\ * #,##0.00_-;\-[$$-240A]\ * #,##0.0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66" formatCode="_-[$$-240A]\ * #,##0_-;\-[$$-240A]\ * #,##0_-;_-[$$-240A]\ * &quot;-&quot;??_-;_-@"/>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67"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0" formatCode="General"/>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65" formatCode="_-[$$-240A]\ * #,##0.00_-;\-[$$-240A]\ * #,##0.00_-;_-[$$-240A]\ * &quot;-&quot;??_-;_-@"/>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65" formatCode="_-[$$-240A]\ * #,##0.00_-;\-[$$-240A]\ * #,##0.0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25" formatCode="h:mm"/>
      <fill>
        <patternFill patternType="solid">
          <fgColor indexed="64"/>
          <bgColor theme="0" tint="-0.249977111117893"/>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65" formatCode="_-[$$-240A]\ * #,##0.00_-;\-[$$-240A]\ * #,##0.0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65" formatCode="_-[$$-240A]\ * #,##0.00_-;\-[$$-240A]\ * #,##0.0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64" formatCode="[$-F400]h:mm:ss\ AM/PM"/>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65" formatCode="_-[$$-240A]\ * #,##0.00_-;\-[$$-240A]\ * #,##0.0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65" formatCode="_-[$$-240A]\ * #,##0.00_-;\-[$$-240A]\ * #,##0.00_-;_-[$$-240A]\ * &quot;-&quot;??_-;_-@"/>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numFmt numFmtId="164" formatCode="[$-F400]h:mm:ss\ AM/PM"/>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8"/>
        <color auto="1"/>
        <name val="Calibri"/>
        <scheme val="none"/>
      </font>
      <numFmt numFmtId="169" formatCode="ddd"/>
      <fill>
        <patternFill patternType="solid">
          <fgColor rgb="FF7F7F7F"/>
          <bgColor theme="4" tint="0.79998168889431442"/>
        </patternFill>
      </fill>
      <alignment horizontal="left" vertical="center" textRotation="0" wrapText="0" indent="0" justifyLastLine="0" shrinkToFit="0" readingOrder="2"/>
      <border diagonalUp="0" diagonalDown="0">
        <left style="thin">
          <color indexed="64"/>
        </left>
        <right style="thin">
          <color indexed="64"/>
        </right>
        <top/>
        <bottom/>
        <vertical/>
        <horizontal/>
      </border>
      <protection locked="0" hidden="0"/>
    </dxf>
    <dxf>
      <font>
        <b/>
        <i val="0"/>
        <strike val="0"/>
        <condense val="0"/>
        <extend val="0"/>
        <outline val="0"/>
        <shadow val="0"/>
        <u val="none"/>
        <vertAlign val="baseline"/>
        <sz val="11"/>
        <color auto="1"/>
        <name val="Calibri"/>
        <scheme val="none"/>
      </font>
      <fill>
        <patternFill patternType="solid">
          <fgColor rgb="FF7F7F7F"/>
          <bgColor theme="4" tint="0.79998168889431442"/>
        </patternFill>
      </fill>
      <alignment horizontal="general" vertical="center" textRotation="0" wrapText="0" indent="0" justifyLastLine="0" shrinkToFit="0" readingOrder="2"/>
      <border diagonalUp="0" diagonalDown="0">
        <left style="thin">
          <color indexed="64"/>
        </left>
        <right style="thin">
          <color indexed="64"/>
        </right>
        <top/>
        <bottom/>
        <vertical/>
        <horizontal/>
      </border>
      <protection locked="0" hidden="0"/>
    </dxf>
    <dxf>
      <font>
        <b/>
        <i val="0"/>
        <strike val="0"/>
        <condense val="0"/>
        <extend val="0"/>
        <outline val="0"/>
        <shadow val="0"/>
        <u val="none"/>
        <vertAlign val="baseline"/>
        <sz val="11"/>
        <color auto="1"/>
        <name val="Calibri"/>
        <scheme val="none"/>
      </font>
      <numFmt numFmtId="21" formatCode="d\-mmm"/>
      <fill>
        <patternFill patternType="solid">
          <fgColor rgb="FF7F7F7F"/>
          <bgColor theme="4" tint="0.79998168889431442"/>
        </patternFill>
      </fill>
      <alignment horizontal="general" vertical="center" textRotation="0" wrapText="0" indent="0" justifyLastLine="0" shrinkToFit="0" readingOrder="2"/>
      <border diagonalUp="0" diagonalDown="0">
        <left style="thin">
          <color indexed="64"/>
        </left>
        <right style="thin">
          <color indexed="64"/>
        </right>
        <top/>
        <bottom/>
        <vertical/>
        <horizontal/>
      </border>
      <protection locked="0" hidden="0"/>
    </dxf>
    <dxf>
      <font>
        <b val="0"/>
        <i val="0"/>
        <strike val="0"/>
        <condense val="0"/>
        <extend val="0"/>
        <outline val="0"/>
        <shadow val="0"/>
        <u val="none"/>
        <vertAlign val="baseline"/>
        <sz val="10"/>
        <color theme="1"/>
        <name val="Calibri"/>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theme="0"/>
        <name val="Calibri"/>
        <scheme val="none"/>
      </font>
      <numFmt numFmtId="166" formatCode="_-[$$-240A]\ * #,##0_-;\-[$$-240A]\ * #,##0_-;_-[$$-240A]\ * &quot;-&quot;??_-;_-@"/>
      <fill>
        <patternFill patternType="solid">
          <fgColor indexed="64"/>
          <bgColor theme="2" tint="-0.499984740745262"/>
        </patternFill>
      </fill>
      <alignment horizontal="center" vertical="center" textRotation="0" wrapText="0" indent="0" justifyLastLine="0" shrinkToFit="0" readingOrder="0"/>
      <protection locked="0" hidden="0"/>
    </dxf>
    <dxf>
      <numFmt numFmtId="1" formatCode="0"/>
    </dxf>
    <dxf>
      <numFmt numFmtId="13" formatCode="0%"/>
    </dxf>
    <dxf>
      <numFmt numFmtId="13" formatCode="0%"/>
    </dxf>
    <dxf>
      <numFmt numFmtId="167" formatCode="0.0"/>
    </dxf>
    <dxf>
      <numFmt numFmtId="1" formatCode="0"/>
    </dxf>
    <dxf>
      <numFmt numFmtId="25" formatCode="h:mm"/>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ont>
        <color theme="0"/>
      </font>
      <border diagonalUp="0" diagonalDown="0">
        <left/>
        <right/>
        <top/>
        <bottom/>
        <vertical/>
        <horizontal/>
      </border>
    </dxf>
    <dxf>
      <font>
        <color theme="1"/>
      </font>
      <fill>
        <patternFill>
          <bgColor theme="1" tint="0.14996795556505021"/>
        </patternFill>
      </fill>
      <border>
        <left style="thin">
          <color theme="4"/>
        </left>
        <right style="thin">
          <color theme="4"/>
        </right>
        <top style="thin">
          <color theme="4"/>
        </top>
        <bottom style="thin">
          <color theme="4"/>
        </bottom>
        <vertical/>
        <horizontal/>
      </border>
    </dxf>
  </dxfs>
  <tableStyles count="1" defaultTableStyle="TableStyleMedium2" defaultPivotStyle="PivotStyleLight16">
    <tableStyle name="formato2" pivot="0" table="0" count="10">
      <tableStyleElement type="wholeTable" dxfId="536"/>
      <tableStyleElement type="headerRow" dxfId="535"/>
    </tableStyle>
  </tableStyles>
  <colors>
    <mruColors>
      <color rgb="FF00FF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14"/>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tint="4.9989318521683403E-2"/>
          </font>
          <fill>
            <patternFill patternType="solid">
              <fgColor theme="4" tint="0.79992065187536243"/>
              <bgColor theme="0" tint="-0.24994659260841701"/>
            </patternFill>
          </fill>
          <border>
            <left style="thin">
              <color rgb="FFCCCCCC"/>
            </left>
            <right style="thin">
              <color rgb="FFCCCCCC"/>
            </right>
            <top style="thin">
              <color rgb="FFCCCCCC"/>
            </top>
            <bottom style="thin">
              <color rgb="FFCCCCCC"/>
            </bottom>
            <vertical/>
            <horizontal/>
          </border>
        </dxf>
        <dxf>
          <font>
            <sz val="14"/>
            <color theme="3"/>
          </font>
          <fill>
            <patternFill patternType="darkGray">
              <fgColor theme="4" tint="0.59999389629810485"/>
              <bgColor theme="0"/>
            </patternFill>
          </fill>
          <border diagonalUp="0" diagonalDown="0">
            <left/>
            <right/>
            <top/>
            <bottom/>
            <vertical/>
            <horizontal/>
          </border>
        </dxf>
        <dxf>
          <font>
            <color theme="1"/>
          </font>
          <fill>
            <patternFill patternType="solid">
              <fgColor rgb="FFFFFFFF"/>
              <bgColor theme="0" tint="-0.14996795556505021"/>
            </patternFill>
          </fill>
          <border>
            <left style="thin">
              <color rgb="FFE0E0E0"/>
            </left>
            <right style="thin">
              <color rgb="FFE0E0E0"/>
            </right>
            <top style="thin">
              <color rgb="FFE0E0E0"/>
            </top>
            <bottom style="thin">
              <color rgb="FFE0E0E0"/>
            </bottom>
            <vertical/>
            <horizontal/>
          </border>
        </dxf>
        <dxf>
          <font>
            <color theme="1"/>
          </font>
          <fill>
            <patternFill patternType="solid">
              <fgColor rgb="FFFFFFFF"/>
              <bgColor theme="0" tint="-0.14996795556505021"/>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formato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dinamicas!1</c:name>
    <c:fmtId val="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Resultado por día</a:t>
            </a:r>
          </a:p>
        </c:rich>
      </c:tx>
      <c:overlay val="0"/>
      <c:spPr>
        <a:noFill/>
        <a:ln>
          <a:noFill/>
        </a:ln>
        <a:effectLst/>
      </c:sp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'Tablas dinamicas'!$I$3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showLeaderLines val="0"/>
          </c:dLbls>
          <c:cat>
            <c:strRef>
              <c:f>'Tablas dinamicas'!$H$4:$H$36</c:f>
              <c:strCache>
                <c:ptCount val="32"/>
                <c:pt idx="0">
                  <c:v>20-Nov</c:v>
                </c:pt>
                <c:pt idx="1">
                  <c:v>21-Nov</c:v>
                </c:pt>
                <c:pt idx="2">
                  <c:v>22-Nov</c:v>
                </c:pt>
                <c:pt idx="3">
                  <c:v>23-Nov</c:v>
                </c:pt>
                <c:pt idx="4">
                  <c:v>24-Nov</c:v>
                </c:pt>
                <c:pt idx="5">
                  <c:v>25-Nov</c:v>
                </c:pt>
                <c:pt idx="6">
                  <c:v>26-Nov</c:v>
                </c:pt>
                <c:pt idx="7">
                  <c:v>27-Nov</c:v>
                </c:pt>
                <c:pt idx="8">
                  <c:v>28-Nov</c:v>
                </c:pt>
                <c:pt idx="9">
                  <c:v>29-Nov</c:v>
                </c:pt>
                <c:pt idx="10">
                  <c:v>30-Nov</c:v>
                </c:pt>
                <c:pt idx="11">
                  <c:v>1-Dec</c:v>
                </c:pt>
                <c:pt idx="12">
                  <c:v>2-Dec</c:v>
                </c:pt>
                <c:pt idx="13">
                  <c:v>3-Dec</c:v>
                </c:pt>
                <c:pt idx="14">
                  <c:v>4-Dec</c:v>
                </c:pt>
                <c:pt idx="15">
                  <c:v>5-Dec</c:v>
                </c:pt>
                <c:pt idx="16">
                  <c:v>6-Dec</c:v>
                </c:pt>
                <c:pt idx="17">
                  <c:v>7-Dec</c:v>
                </c:pt>
                <c:pt idx="18">
                  <c:v>8-Dec</c:v>
                </c:pt>
                <c:pt idx="19">
                  <c:v>9-Dec</c:v>
                </c:pt>
                <c:pt idx="20">
                  <c:v>10-Dec</c:v>
                </c:pt>
                <c:pt idx="21">
                  <c:v>11-Dec</c:v>
                </c:pt>
                <c:pt idx="22">
                  <c:v>12-Dec</c:v>
                </c:pt>
                <c:pt idx="23">
                  <c:v>13-Dec</c:v>
                </c:pt>
                <c:pt idx="24">
                  <c:v>14-Dec</c:v>
                </c:pt>
                <c:pt idx="25">
                  <c:v>15-Dec</c:v>
                </c:pt>
                <c:pt idx="26">
                  <c:v>16-Dec</c:v>
                </c:pt>
                <c:pt idx="27">
                  <c:v>17-Dec</c:v>
                </c:pt>
                <c:pt idx="28">
                  <c:v>18-Dec</c:v>
                </c:pt>
                <c:pt idx="29">
                  <c:v>19-Dec</c:v>
                </c:pt>
                <c:pt idx="30">
                  <c:v>20-Dec</c:v>
                </c:pt>
                <c:pt idx="31">
                  <c:v>21-Dec</c:v>
                </c:pt>
              </c:strCache>
            </c:strRef>
          </c:cat>
          <c:val>
            <c:numRef>
              <c:f>'Tablas dinamicas'!$I$4:$I$36</c:f>
              <c:numCache>
                <c:formatCode>General</c:formatCode>
                <c:ptCount val="32"/>
                <c:pt idx="0">
                  <c:v>12.699999999999317</c:v>
                </c:pt>
                <c:pt idx="1">
                  <c:v>0</c:v>
                </c:pt>
                <c:pt idx="2">
                  <c:v>0</c:v>
                </c:pt>
                <c:pt idx="3">
                  <c:v>29.2</c:v>
                </c:pt>
                <c:pt idx="4">
                  <c:v>43.4</c:v>
                </c:pt>
                <c:pt idx="5">
                  <c:v>7.7000000000002276</c:v>
                </c:pt>
                <c:pt idx="6">
                  <c:v>0</c:v>
                </c:pt>
                <c:pt idx="7">
                  <c:v>8.6999999999993172</c:v>
                </c:pt>
                <c:pt idx="8">
                  <c:v>0</c:v>
                </c:pt>
                <c:pt idx="9">
                  <c:v>0</c:v>
                </c:pt>
                <c:pt idx="10">
                  <c:v>-41.6</c:v>
                </c:pt>
                <c:pt idx="11">
                  <c:v>18.300000000000907</c:v>
                </c:pt>
                <c:pt idx="12">
                  <c:v>-0.29999999999931792</c:v>
                </c:pt>
                <c:pt idx="13">
                  <c:v>-47.199999999999775</c:v>
                </c:pt>
                <c:pt idx="14">
                  <c:v>-0.30000000000045479</c:v>
                </c:pt>
                <c:pt idx="15">
                  <c:v>0</c:v>
                </c:pt>
                <c:pt idx="16">
                  <c:v>0</c:v>
                </c:pt>
                <c:pt idx="17">
                  <c:v>0</c:v>
                </c:pt>
                <c:pt idx="18">
                  <c:v>0</c:v>
                </c:pt>
                <c:pt idx="19">
                  <c:v>14.000000000001819</c:v>
                </c:pt>
                <c:pt idx="20">
                  <c:v>26.100000000000229</c:v>
                </c:pt>
                <c:pt idx="21">
                  <c:v>-14.500000000000684</c:v>
                </c:pt>
                <c:pt idx="22">
                  <c:v>0</c:v>
                </c:pt>
                <c:pt idx="23">
                  <c:v>0</c:v>
                </c:pt>
                <c:pt idx="24">
                  <c:v>0</c:v>
                </c:pt>
                <c:pt idx="25">
                  <c:v>0</c:v>
                </c:pt>
                <c:pt idx="26">
                  <c:v>0</c:v>
                </c:pt>
                <c:pt idx="27">
                  <c:v>0</c:v>
                </c:pt>
                <c:pt idx="28">
                  <c:v>0</c:v>
                </c:pt>
                <c:pt idx="31">
                  <c:v>0</c:v>
                </c:pt>
              </c:numCache>
            </c:numRef>
          </c:val>
          <c:extLst xmlns:c16r2="http://schemas.microsoft.com/office/drawing/2015/06/chart">
            <c:ext xmlns:c16="http://schemas.microsoft.com/office/drawing/2014/chart" uri="{C3380CC4-5D6E-409C-BE32-E72D297353CC}">
              <c16:uniqueId val="{00000000-1BD0-403F-B3FD-9DB198484FF3}"/>
            </c:ext>
          </c:extLst>
        </c:ser>
        <c:dLbls>
          <c:showLegendKey val="0"/>
          <c:showVal val="1"/>
          <c:showCatName val="0"/>
          <c:showSerName val="0"/>
          <c:showPercent val="0"/>
          <c:showBubbleSize val="0"/>
        </c:dLbls>
        <c:gapWidth val="150"/>
        <c:overlap val="-25"/>
        <c:axId val="189971072"/>
        <c:axId val="189974016"/>
      </c:barChart>
      <c:catAx>
        <c:axId val="18997107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89974016"/>
        <c:crosses val="autoZero"/>
        <c:auto val="1"/>
        <c:lblAlgn val="ctr"/>
        <c:lblOffset val="100"/>
        <c:noMultiLvlLbl val="0"/>
      </c:catAx>
      <c:valAx>
        <c:axId val="189974016"/>
        <c:scaling>
          <c:orientation val="minMax"/>
        </c:scaling>
        <c:delete val="1"/>
        <c:axPos val="l"/>
        <c:numFmt formatCode="General" sourceLinked="1"/>
        <c:majorTickMark val="none"/>
        <c:minorTickMark val="none"/>
        <c:tickLblPos val="nextTo"/>
        <c:crossAx val="18997107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AB</a:t>
            </a:r>
            <a:r>
              <a:rPr lang="en-US" baseline="0"/>
              <a:t> Vs PF</a:t>
            </a:r>
            <a:endParaRPr lang="en-US"/>
          </a:p>
        </c:rich>
      </c:tx>
      <c:overlay val="0"/>
      <c:spPr>
        <a:noFill/>
        <a:ln>
          <a:noFill/>
        </a:ln>
        <a:effectLst/>
      </c:sp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dLblPos val="inBase"/>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pivotFmt>
    </c:pivotFmts>
    <c:plotArea>
      <c:layout/>
      <c:barChart>
        <c:barDir val="col"/>
        <c:grouping val="clustered"/>
        <c:varyColors val="0"/>
        <c:ser>
          <c:idx val="1"/>
          <c:order val="1"/>
          <c:tx>
            <c:strRef>
              <c:f>'Tablas dinamicas'!$J$49</c:f>
              <c:strCache>
                <c:ptCount val="1"/>
                <c:pt idx="0">
                  <c:v>Suma de AB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dLblPos val="inBase"/>
            <c:showLegendKey val="0"/>
            <c:showVal val="1"/>
            <c:showCatName val="0"/>
            <c:showSerName val="0"/>
            <c:showPercent val="0"/>
            <c:showBubbleSize val="0"/>
            <c:showLeaderLines val="0"/>
          </c:dLbls>
          <c:cat>
            <c:strRef>
              <c:f>'Tablas dinamicas'!$H$50:$H$79</c:f>
              <c:strCache>
                <c:ptCount val="32"/>
                <c:pt idx="0">
                  <c:v>20-Nov</c:v>
                </c:pt>
                <c:pt idx="1">
                  <c:v>21-Nov</c:v>
                </c:pt>
                <c:pt idx="2">
                  <c:v>22-Nov</c:v>
                </c:pt>
                <c:pt idx="3">
                  <c:v>23-Nov</c:v>
                </c:pt>
                <c:pt idx="4">
                  <c:v>24-Nov</c:v>
                </c:pt>
                <c:pt idx="5">
                  <c:v>25-Nov</c:v>
                </c:pt>
                <c:pt idx="6">
                  <c:v>26-Nov</c:v>
                </c:pt>
                <c:pt idx="7">
                  <c:v>27-Nov</c:v>
                </c:pt>
                <c:pt idx="8">
                  <c:v>28-Nov</c:v>
                </c:pt>
                <c:pt idx="9">
                  <c:v>29-Nov</c:v>
                </c:pt>
                <c:pt idx="10">
                  <c:v>30-Nov</c:v>
                </c:pt>
                <c:pt idx="11">
                  <c:v>1-Dec</c:v>
                </c:pt>
                <c:pt idx="12">
                  <c:v>2-Dec</c:v>
                </c:pt>
                <c:pt idx="13">
                  <c:v>3-Dec</c:v>
                </c:pt>
                <c:pt idx="14">
                  <c:v>4-Dec</c:v>
                </c:pt>
                <c:pt idx="15">
                  <c:v>5-Dec</c:v>
                </c:pt>
                <c:pt idx="16">
                  <c:v>6-Dec</c:v>
                </c:pt>
                <c:pt idx="17">
                  <c:v>7-Dec</c:v>
                </c:pt>
                <c:pt idx="18">
                  <c:v>8-Dec</c:v>
                </c:pt>
                <c:pt idx="19">
                  <c:v>9-Dec</c:v>
                </c:pt>
                <c:pt idx="20">
                  <c:v>10-Dec</c:v>
                </c:pt>
                <c:pt idx="21">
                  <c:v>11-Dec</c:v>
                </c:pt>
                <c:pt idx="22">
                  <c:v>12-Dec</c:v>
                </c:pt>
                <c:pt idx="23">
                  <c:v>13-Dec</c:v>
                </c:pt>
                <c:pt idx="24">
                  <c:v>14-Dec</c:v>
                </c:pt>
                <c:pt idx="25">
                  <c:v>15-Dec</c:v>
                </c:pt>
                <c:pt idx="26">
                  <c:v>16-Dec</c:v>
                </c:pt>
                <c:pt idx="27">
                  <c:v>17-Dec</c:v>
                </c:pt>
                <c:pt idx="28">
                  <c:v>18-Dec</c:v>
                </c:pt>
                <c:pt idx="29">
                  <c:v>19-Dec</c:v>
                </c:pt>
                <c:pt idx="30">
                  <c:v>20-Dec</c:v>
                </c:pt>
                <c:pt idx="31">
                  <c:v>21-Dec</c:v>
                </c:pt>
              </c:strCache>
            </c:strRef>
          </c:cat>
          <c:val>
            <c:numRef>
              <c:f>'Tablas dinamicas'!$J$50:$J$79</c:f>
              <c:numCache>
                <c:formatCode>General</c:formatCode>
                <c:ptCount val="32"/>
                <c:pt idx="0">
                  <c:v>0.5</c:v>
                </c:pt>
                <c:pt idx="1">
                  <c:v>0</c:v>
                </c:pt>
                <c:pt idx="2">
                  <c:v>0</c:v>
                </c:pt>
                <c:pt idx="3">
                  <c:v>1</c:v>
                </c:pt>
                <c:pt idx="4">
                  <c:v>1</c:v>
                </c:pt>
                <c:pt idx="5">
                  <c:v>1</c:v>
                </c:pt>
                <c:pt idx="6">
                  <c:v>0</c:v>
                </c:pt>
                <c:pt idx="7">
                  <c:v>1</c:v>
                </c:pt>
                <c:pt idx="8">
                  <c:v>0</c:v>
                </c:pt>
                <c:pt idx="9">
                  <c:v>0</c:v>
                </c:pt>
                <c:pt idx="10">
                  <c:v>0</c:v>
                </c:pt>
                <c:pt idx="11">
                  <c:v>0.75</c:v>
                </c:pt>
                <c:pt idx="12">
                  <c:v>1</c:v>
                </c:pt>
                <c:pt idx="13">
                  <c:v>0.25</c:v>
                </c:pt>
                <c:pt idx="14">
                  <c:v>1</c:v>
                </c:pt>
                <c:pt idx="15">
                  <c:v>0</c:v>
                </c:pt>
                <c:pt idx="16">
                  <c:v>0</c:v>
                </c:pt>
                <c:pt idx="17">
                  <c:v>0</c:v>
                </c:pt>
                <c:pt idx="18">
                  <c:v>0</c:v>
                </c:pt>
                <c:pt idx="19">
                  <c:v>0.4</c:v>
                </c:pt>
                <c:pt idx="20">
                  <c:v>0.66666666666666663</c:v>
                </c:pt>
                <c:pt idx="21">
                  <c:v>0.6</c:v>
                </c:pt>
                <c:pt idx="22">
                  <c:v>0</c:v>
                </c:pt>
                <c:pt idx="23">
                  <c:v>0</c:v>
                </c:pt>
                <c:pt idx="24">
                  <c:v>0</c:v>
                </c:pt>
                <c:pt idx="25">
                  <c:v>0</c:v>
                </c:pt>
                <c:pt idx="26">
                  <c:v>0</c:v>
                </c:pt>
                <c:pt idx="27">
                  <c:v>0</c:v>
                </c:pt>
                <c:pt idx="28">
                  <c:v>0</c:v>
                </c:pt>
                <c:pt idx="29">
                  <c:v>0</c:v>
                </c:pt>
              </c:numCache>
            </c:numRef>
          </c:val>
          <c:extLst xmlns:c16r2="http://schemas.microsoft.com/office/drawing/2015/06/chart">
            <c:ext xmlns:c16="http://schemas.microsoft.com/office/drawing/2014/chart" uri="{C3380CC4-5D6E-409C-BE32-E72D297353CC}">
              <c16:uniqueId val="{00000001-A090-4328-A68A-D8E09DF3F9A7}"/>
            </c:ext>
          </c:extLst>
        </c:ser>
        <c:dLbls>
          <c:showLegendKey val="0"/>
          <c:showVal val="0"/>
          <c:showCatName val="0"/>
          <c:showSerName val="0"/>
          <c:showPercent val="0"/>
          <c:showBubbleSize val="0"/>
        </c:dLbls>
        <c:gapWidth val="75"/>
        <c:overlap val="40"/>
        <c:axId val="190914560"/>
        <c:axId val="190916096"/>
      </c:barChart>
      <c:barChart>
        <c:barDir val="col"/>
        <c:grouping val="clustered"/>
        <c:varyColors val="0"/>
        <c:ser>
          <c:idx val="0"/>
          <c:order val="0"/>
          <c:tx>
            <c:strRef>
              <c:f>'Tablas dinamicas'!$I$49</c:f>
              <c:strCache>
                <c:ptCount val="1"/>
                <c:pt idx="0">
                  <c:v>Suma de PF</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dinamicas'!$H$50:$H$79</c:f>
              <c:strCache>
                <c:ptCount val="32"/>
                <c:pt idx="0">
                  <c:v>20-Nov</c:v>
                </c:pt>
                <c:pt idx="1">
                  <c:v>21-Nov</c:v>
                </c:pt>
                <c:pt idx="2">
                  <c:v>22-Nov</c:v>
                </c:pt>
                <c:pt idx="3">
                  <c:v>23-Nov</c:v>
                </c:pt>
                <c:pt idx="4">
                  <c:v>24-Nov</c:v>
                </c:pt>
                <c:pt idx="5">
                  <c:v>25-Nov</c:v>
                </c:pt>
                <c:pt idx="6">
                  <c:v>26-Nov</c:v>
                </c:pt>
                <c:pt idx="7">
                  <c:v>27-Nov</c:v>
                </c:pt>
                <c:pt idx="8">
                  <c:v>28-Nov</c:v>
                </c:pt>
                <c:pt idx="9">
                  <c:v>29-Nov</c:v>
                </c:pt>
                <c:pt idx="10">
                  <c:v>30-Nov</c:v>
                </c:pt>
                <c:pt idx="11">
                  <c:v>1-Dec</c:v>
                </c:pt>
                <c:pt idx="12">
                  <c:v>2-Dec</c:v>
                </c:pt>
                <c:pt idx="13">
                  <c:v>3-Dec</c:v>
                </c:pt>
                <c:pt idx="14">
                  <c:v>4-Dec</c:v>
                </c:pt>
                <c:pt idx="15">
                  <c:v>5-Dec</c:v>
                </c:pt>
                <c:pt idx="16">
                  <c:v>6-Dec</c:v>
                </c:pt>
                <c:pt idx="17">
                  <c:v>7-Dec</c:v>
                </c:pt>
                <c:pt idx="18">
                  <c:v>8-Dec</c:v>
                </c:pt>
                <c:pt idx="19">
                  <c:v>9-Dec</c:v>
                </c:pt>
                <c:pt idx="20">
                  <c:v>10-Dec</c:v>
                </c:pt>
                <c:pt idx="21">
                  <c:v>11-Dec</c:v>
                </c:pt>
                <c:pt idx="22">
                  <c:v>12-Dec</c:v>
                </c:pt>
                <c:pt idx="23">
                  <c:v>13-Dec</c:v>
                </c:pt>
                <c:pt idx="24">
                  <c:v>14-Dec</c:v>
                </c:pt>
                <c:pt idx="25">
                  <c:v>15-Dec</c:v>
                </c:pt>
                <c:pt idx="26">
                  <c:v>16-Dec</c:v>
                </c:pt>
                <c:pt idx="27">
                  <c:v>17-Dec</c:v>
                </c:pt>
                <c:pt idx="28">
                  <c:v>18-Dec</c:v>
                </c:pt>
                <c:pt idx="29">
                  <c:v>19-Dec</c:v>
                </c:pt>
                <c:pt idx="30">
                  <c:v>20-Dec</c:v>
                </c:pt>
                <c:pt idx="31">
                  <c:v>21-Dec</c:v>
                </c:pt>
              </c:strCache>
            </c:strRef>
          </c:cat>
          <c:val>
            <c:numRef>
              <c:f>'Tablas dinamicas'!$I$50:$I$79</c:f>
              <c:numCache>
                <c:formatCode>General</c:formatCode>
                <c:ptCount val="32"/>
                <c:pt idx="0">
                  <c:v>2.8999999999998636</c:v>
                </c:pt>
                <c:pt idx="1">
                  <c:v>0</c:v>
                </c:pt>
                <c:pt idx="2">
                  <c:v>0</c:v>
                </c:pt>
                <c:pt idx="3">
                  <c:v>6</c:v>
                </c:pt>
                <c:pt idx="4">
                  <c:v>9</c:v>
                </c:pt>
                <c:pt idx="5">
                  <c:v>1.7000000000000455</c:v>
                </c:pt>
                <c:pt idx="6">
                  <c:v>0</c:v>
                </c:pt>
                <c:pt idx="7">
                  <c:v>1.8999999999998636</c:v>
                </c:pt>
                <c:pt idx="8">
                  <c:v>0</c:v>
                </c:pt>
                <c:pt idx="9">
                  <c:v>0</c:v>
                </c:pt>
                <c:pt idx="10">
                  <c:v>0</c:v>
                </c:pt>
                <c:pt idx="11">
                  <c:v>2.433333333333394</c:v>
                </c:pt>
                <c:pt idx="12">
                  <c:v>0.10000000000013642</c:v>
                </c:pt>
                <c:pt idx="13">
                  <c:v>2.2222222222227275E-2</c:v>
                </c:pt>
                <c:pt idx="14">
                  <c:v>9.9999999999909051E-2</c:v>
                </c:pt>
                <c:pt idx="15">
                  <c:v>0</c:v>
                </c:pt>
                <c:pt idx="16">
                  <c:v>0</c:v>
                </c:pt>
                <c:pt idx="17">
                  <c:v>0</c:v>
                </c:pt>
                <c:pt idx="18">
                  <c:v>0</c:v>
                </c:pt>
                <c:pt idx="19">
                  <c:v>1.5806451612903982</c:v>
                </c:pt>
                <c:pt idx="20">
                  <c:v>2.5405405405405337</c:v>
                </c:pt>
                <c:pt idx="21">
                  <c:v>0.66129032258062559</c:v>
                </c:pt>
                <c:pt idx="22">
                  <c:v>0</c:v>
                </c:pt>
                <c:pt idx="23">
                  <c:v>0</c:v>
                </c:pt>
                <c:pt idx="24">
                  <c:v>0</c:v>
                </c:pt>
                <c:pt idx="25">
                  <c:v>0</c:v>
                </c:pt>
                <c:pt idx="26">
                  <c:v>0</c:v>
                </c:pt>
                <c:pt idx="27">
                  <c:v>0</c:v>
                </c:pt>
                <c:pt idx="28">
                  <c:v>0</c:v>
                </c:pt>
                <c:pt idx="29">
                  <c:v>0</c:v>
                </c:pt>
                <c:pt idx="30">
                  <c:v>#N/A</c:v>
                </c:pt>
              </c:numCache>
            </c:numRef>
          </c:val>
          <c:extLst xmlns:c16r2="http://schemas.microsoft.com/office/drawing/2015/06/chart">
            <c:ext xmlns:c16="http://schemas.microsoft.com/office/drawing/2014/chart" uri="{C3380CC4-5D6E-409C-BE32-E72D297353CC}">
              <c16:uniqueId val="{00000000-A090-4328-A68A-D8E09DF3F9A7}"/>
            </c:ext>
          </c:extLst>
        </c:ser>
        <c:dLbls>
          <c:showLegendKey val="0"/>
          <c:showVal val="0"/>
          <c:showCatName val="0"/>
          <c:showSerName val="0"/>
          <c:showPercent val="0"/>
          <c:showBubbleSize val="0"/>
        </c:dLbls>
        <c:gapWidth val="75"/>
        <c:overlap val="40"/>
        <c:axId val="190935808"/>
        <c:axId val="190917632"/>
      </c:barChart>
      <c:catAx>
        <c:axId val="19091456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90916096"/>
        <c:crosses val="autoZero"/>
        <c:auto val="1"/>
        <c:lblAlgn val="ctr"/>
        <c:lblOffset val="100"/>
        <c:noMultiLvlLbl val="0"/>
      </c:catAx>
      <c:valAx>
        <c:axId val="19091609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90914560"/>
        <c:crosses val="autoZero"/>
        <c:crossBetween val="between"/>
      </c:valAx>
      <c:valAx>
        <c:axId val="19091763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90935808"/>
        <c:crosses val="max"/>
        <c:crossBetween val="between"/>
      </c:valAx>
      <c:catAx>
        <c:axId val="190935808"/>
        <c:scaling>
          <c:orientation val="minMax"/>
        </c:scaling>
        <c:delete val="1"/>
        <c:axPos val="b"/>
        <c:numFmt formatCode="General" sourceLinked="1"/>
        <c:majorTickMark val="out"/>
        <c:minorTickMark val="none"/>
        <c:tickLblPos val="nextTo"/>
        <c:crossAx val="1909176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dinamicas!3</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Positivo Vs Negativo</a:t>
            </a:r>
          </a:p>
        </c:rich>
      </c:tx>
      <c:overlay val="0"/>
      <c:spPr>
        <a:noFill/>
        <a:ln>
          <a:noFill/>
        </a:ln>
        <a:effectLst/>
      </c:spPr>
    </c:title>
    <c:autoTitleDeleted val="0"/>
    <c:pivotFmts>
      <c:pivotFmt>
        <c:idx val="0"/>
        <c:dLbl>
          <c:idx val="0"/>
          <c:delete val="1"/>
          <c:extLst xmlns:c16r2="http://schemas.microsoft.com/office/drawing/2015/06/char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'Tablas dinamicas'!$I$82</c:f>
              <c:strCache>
                <c:ptCount val="1"/>
                <c:pt idx="0">
                  <c:v>Suma de Total Positivo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showLeaderLines val="0"/>
          </c:dLbls>
          <c:cat>
            <c:strRef>
              <c:f>'Tablas dinamicas'!$H$83:$H$115</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dinamicas'!$I$83:$I$115</c:f>
              <c:numCache>
                <c:formatCode>General</c:formatCode>
                <c:ptCount val="32"/>
                <c:pt idx="0">
                  <c:v>2.8999999999998636</c:v>
                </c:pt>
                <c:pt idx="1">
                  <c:v>0</c:v>
                </c:pt>
                <c:pt idx="2">
                  <c:v>0</c:v>
                </c:pt>
                <c:pt idx="3">
                  <c:v>6</c:v>
                </c:pt>
                <c:pt idx="4">
                  <c:v>9</c:v>
                </c:pt>
                <c:pt idx="5">
                  <c:v>1.7000000000000455</c:v>
                </c:pt>
                <c:pt idx="6">
                  <c:v>0</c:v>
                </c:pt>
                <c:pt idx="7">
                  <c:v>1.8999999999998636</c:v>
                </c:pt>
                <c:pt idx="8">
                  <c:v>0</c:v>
                </c:pt>
                <c:pt idx="9">
                  <c:v>0</c:v>
                </c:pt>
                <c:pt idx="10">
                  <c:v>0</c:v>
                </c:pt>
                <c:pt idx="11">
                  <c:v>7.3000000000001819</c:v>
                </c:pt>
                <c:pt idx="12">
                  <c:v>0.10000000000013642</c:v>
                </c:pt>
                <c:pt idx="13">
                  <c:v>0.20000000000004547</c:v>
                </c:pt>
                <c:pt idx="14">
                  <c:v>9.9999999999909051E-2</c:v>
                </c:pt>
                <c:pt idx="15">
                  <c:v>0</c:v>
                </c:pt>
                <c:pt idx="16">
                  <c:v>0</c:v>
                </c:pt>
                <c:pt idx="17">
                  <c:v>0</c:v>
                </c:pt>
                <c:pt idx="18">
                  <c:v>0</c:v>
                </c:pt>
                <c:pt idx="19">
                  <c:v>9.8000000000001819</c:v>
                </c:pt>
                <c:pt idx="20">
                  <c:v>9.4000000000000909</c:v>
                </c:pt>
                <c:pt idx="21">
                  <c:v>4.0999999999999091</c:v>
                </c:pt>
                <c:pt idx="22">
                  <c:v>0</c:v>
                </c:pt>
                <c:pt idx="23">
                  <c:v>0</c:v>
                </c:pt>
                <c:pt idx="24">
                  <c:v>0</c:v>
                </c:pt>
                <c:pt idx="25">
                  <c:v>0</c:v>
                </c:pt>
                <c:pt idx="26">
                  <c:v>0</c:v>
                </c:pt>
                <c:pt idx="27">
                  <c:v>0</c:v>
                </c:pt>
                <c:pt idx="28">
                  <c:v>0</c:v>
                </c:pt>
                <c:pt idx="29">
                  <c:v>0</c:v>
                </c:pt>
                <c:pt idx="30">
                  <c:v>0</c:v>
                </c:pt>
                <c:pt idx="31">
                  <c:v>0</c:v>
                </c:pt>
              </c:numCache>
            </c:numRef>
          </c:val>
          <c:extLst xmlns:c16r2="http://schemas.microsoft.com/office/drawing/2015/06/chart">
            <c:ext xmlns:c16="http://schemas.microsoft.com/office/drawing/2014/chart" uri="{C3380CC4-5D6E-409C-BE32-E72D297353CC}">
              <c16:uniqueId val="{00000000-5D9C-485D-8B3F-28C7B28CE207}"/>
            </c:ext>
          </c:extLst>
        </c:ser>
        <c:ser>
          <c:idx val="1"/>
          <c:order val="1"/>
          <c:tx>
            <c:strRef>
              <c:f>'Tablas dinamicas'!$J$82</c:f>
              <c:strCache>
                <c:ptCount val="1"/>
                <c:pt idx="0">
                  <c:v>Suma de Total Negativo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showLeaderLines val="0"/>
          </c:dLbls>
          <c:cat>
            <c:strRef>
              <c:f>'Tablas dinamicas'!$H$83:$H$115</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dinamicas'!$J$83:$J$115</c:f>
              <c:numCache>
                <c:formatCode>General</c:formatCode>
                <c:ptCount val="32"/>
                <c:pt idx="0">
                  <c:v>0</c:v>
                </c:pt>
                <c:pt idx="1">
                  <c:v>0</c:v>
                </c:pt>
                <c:pt idx="2">
                  <c:v>0</c:v>
                </c:pt>
                <c:pt idx="3">
                  <c:v>0</c:v>
                </c:pt>
                <c:pt idx="4">
                  <c:v>0</c:v>
                </c:pt>
                <c:pt idx="5">
                  <c:v>0</c:v>
                </c:pt>
                <c:pt idx="6">
                  <c:v>0</c:v>
                </c:pt>
                <c:pt idx="7">
                  <c:v>0</c:v>
                </c:pt>
                <c:pt idx="8">
                  <c:v>0</c:v>
                </c:pt>
                <c:pt idx="9">
                  <c:v>0</c:v>
                </c:pt>
                <c:pt idx="10">
                  <c:v>-8</c:v>
                </c:pt>
                <c:pt idx="11">
                  <c:v>-3</c:v>
                </c:pt>
                <c:pt idx="12">
                  <c:v>0</c:v>
                </c:pt>
                <c:pt idx="13">
                  <c:v>-9</c:v>
                </c:pt>
                <c:pt idx="14">
                  <c:v>0</c:v>
                </c:pt>
                <c:pt idx="15">
                  <c:v>0</c:v>
                </c:pt>
                <c:pt idx="16">
                  <c:v>0</c:v>
                </c:pt>
                <c:pt idx="17">
                  <c:v>0</c:v>
                </c:pt>
                <c:pt idx="18">
                  <c:v>0</c:v>
                </c:pt>
                <c:pt idx="19">
                  <c:v>-6.1999999999998181</c:v>
                </c:pt>
                <c:pt idx="20">
                  <c:v>-3.7000000000000455</c:v>
                </c:pt>
                <c:pt idx="21">
                  <c:v>-6.2000000000000455</c:v>
                </c:pt>
                <c:pt idx="22">
                  <c:v>0</c:v>
                </c:pt>
                <c:pt idx="23">
                  <c:v>0</c:v>
                </c:pt>
                <c:pt idx="24">
                  <c:v>0</c:v>
                </c:pt>
                <c:pt idx="25">
                  <c:v>0</c:v>
                </c:pt>
                <c:pt idx="26">
                  <c:v>0</c:v>
                </c:pt>
                <c:pt idx="27">
                  <c:v>0</c:v>
                </c:pt>
                <c:pt idx="28">
                  <c:v>0</c:v>
                </c:pt>
                <c:pt idx="29">
                  <c:v>0</c:v>
                </c:pt>
                <c:pt idx="30">
                  <c:v>0</c:v>
                </c:pt>
                <c:pt idx="31">
                  <c:v>0</c:v>
                </c:pt>
              </c:numCache>
            </c:numRef>
          </c:val>
          <c:extLst xmlns:c16r2="http://schemas.microsoft.com/office/drawing/2015/06/chart">
            <c:ext xmlns:c16="http://schemas.microsoft.com/office/drawing/2014/chart" uri="{C3380CC4-5D6E-409C-BE32-E72D297353CC}">
              <c16:uniqueId val="{00000003-5D9C-485D-8B3F-28C7B28CE207}"/>
            </c:ext>
          </c:extLst>
        </c:ser>
        <c:dLbls>
          <c:showLegendKey val="0"/>
          <c:showVal val="1"/>
          <c:showCatName val="0"/>
          <c:showSerName val="0"/>
          <c:showPercent val="0"/>
          <c:showBubbleSize val="0"/>
        </c:dLbls>
        <c:gapWidth val="150"/>
        <c:shape val="box"/>
        <c:axId val="191383424"/>
        <c:axId val="191384960"/>
        <c:axId val="0"/>
      </c:bar3DChart>
      <c:catAx>
        <c:axId val="191383424"/>
        <c:scaling>
          <c:orientation val="minMax"/>
        </c:scaling>
        <c:delete val="1"/>
        <c:axPos val="l"/>
        <c:numFmt formatCode="General" sourceLinked="1"/>
        <c:majorTickMark val="none"/>
        <c:minorTickMark val="none"/>
        <c:tickLblPos val="nextTo"/>
        <c:crossAx val="191384960"/>
        <c:crosses val="autoZero"/>
        <c:auto val="1"/>
        <c:lblAlgn val="ctr"/>
        <c:lblOffset val="100"/>
        <c:noMultiLvlLbl val="0"/>
      </c:catAx>
      <c:valAx>
        <c:axId val="191384960"/>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9138342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dinamicas!4</c:name>
    <c:fmtId val="0"/>
  </c:pivotSource>
  <c:chart>
    <c:title>
      <c:tx>
        <c:rich>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r>
              <a:rPr lang="en-US"/>
              <a:t>Seguimiento</a:t>
            </a:r>
            <a:r>
              <a:rPr lang="en-US" baseline="0"/>
              <a:t> Semanal</a:t>
            </a:r>
            <a:endParaRPr lang="en-US"/>
          </a:p>
        </c:rich>
      </c:tx>
      <c:overlay val="0"/>
      <c:spPr>
        <a:noFill/>
        <a:ln>
          <a:noFill/>
        </a:ln>
        <a:effectLst/>
      </c:spPr>
    </c:title>
    <c:autoTitleDeleted val="0"/>
    <c:pivotFmts>
      <c:pivotFmt>
        <c:idx val="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pivotFmt>
      <c:pivotFmt>
        <c:idx val="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delete val="1"/>
          <c:extLst xmlns:c16r2="http://schemas.microsoft.com/office/drawing/2015/06/chart">
            <c:ext xmlns:c15="http://schemas.microsoft.com/office/drawing/2012/chart" uri="{CE6537A1-D6FC-4f65-9D91-7224C49458BB}"/>
          </c:extLst>
        </c:dLbl>
      </c:pivotFmt>
    </c:pivotFmts>
    <c:plotArea>
      <c:layout/>
      <c:areaChart>
        <c:grouping val="standard"/>
        <c:varyColors val="0"/>
        <c:ser>
          <c:idx val="0"/>
          <c:order val="0"/>
          <c:tx>
            <c:strRef>
              <c:f>'Tablas dinamicas'!$Q$2</c:f>
              <c:strCache>
                <c:ptCount val="1"/>
                <c:pt idx="0">
                  <c:v>Total</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cat>
            <c:strRef>
              <c:f>'Tablas dinamicas'!$P$3:$P$9</c:f>
              <c:strCache>
                <c:ptCount val="6"/>
                <c:pt idx="0">
                  <c:v>47</c:v>
                </c:pt>
                <c:pt idx="1">
                  <c:v>48</c:v>
                </c:pt>
                <c:pt idx="2">
                  <c:v>49</c:v>
                </c:pt>
                <c:pt idx="3">
                  <c:v>50</c:v>
                </c:pt>
                <c:pt idx="4">
                  <c:v>51</c:v>
                </c:pt>
                <c:pt idx="5">
                  <c:v>52</c:v>
                </c:pt>
              </c:strCache>
            </c:strRef>
          </c:cat>
          <c:val>
            <c:numRef>
              <c:f>'Tablas dinamicas'!$Q$3:$Q$9</c:f>
              <c:numCache>
                <c:formatCode>0</c:formatCode>
                <c:ptCount val="6"/>
                <c:pt idx="0">
                  <c:v>12.699999999999317</c:v>
                </c:pt>
                <c:pt idx="1">
                  <c:v>88.999999999999545</c:v>
                </c:pt>
                <c:pt idx="2">
                  <c:v>-71.099999999998644</c:v>
                </c:pt>
                <c:pt idx="3">
                  <c:v>25.600000000001366</c:v>
                </c:pt>
                <c:pt idx="4">
                  <c:v>0</c:v>
                </c:pt>
                <c:pt idx="5">
                  <c:v>0</c:v>
                </c:pt>
              </c:numCache>
            </c:numRef>
          </c:val>
          <c:extLst xmlns:c16r2="http://schemas.microsoft.com/office/drawing/2015/06/chart">
            <c:ext xmlns:c16="http://schemas.microsoft.com/office/drawing/2014/chart" uri="{C3380CC4-5D6E-409C-BE32-E72D297353CC}">
              <c16:uniqueId val="{00000000-8435-4994-9106-CAB3A39EF51A}"/>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191423232"/>
        <c:axId val="191424768"/>
      </c:areaChart>
      <c:catAx>
        <c:axId val="191423232"/>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AR"/>
          </a:p>
        </c:txPr>
        <c:crossAx val="191424768"/>
        <c:crosses val="autoZero"/>
        <c:auto val="1"/>
        <c:lblAlgn val="ctr"/>
        <c:lblOffset val="100"/>
        <c:noMultiLvlLbl val="0"/>
      </c:catAx>
      <c:valAx>
        <c:axId val="191424768"/>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91423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lt1">
          <a:lumMod val="75000"/>
        </a:schemeClr>
      </a:solidFill>
      <a:round/>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dinamicas!5</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Resultado diario vs</a:t>
            </a:r>
            <a:r>
              <a:rPr lang="en-US" baseline="0"/>
              <a:t> Objetivo</a:t>
            </a:r>
          </a:p>
        </c:rich>
      </c:tx>
      <c:overlay val="0"/>
      <c:spPr>
        <a:noFill/>
        <a:ln>
          <a:noFill/>
        </a:ln>
        <a:effectLst/>
      </c:spPr>
    </c:title>
    <c:autoTitleDeleted val="0"/>
    <c:pivotFmts>
      <c:pivotFmt>
        <c:idx val="0"/>
        <c:dLbl>
          <c:idx val="0"/>
          <c:delete val="1"/>
          <c:extLst xmlns:c16r2="http://schemas.microsoft.com/office/drawing/2015/06/chart">
            <c:ext xmlns:c15="http://schemas.microsoft.com/office/drawing/2012/chart" uri="{CE6537A1-D6FC-4f65-9D91-7224C49458BB}"/>
          </c:extLst>
        </c:dLbl>
      </c:pivotFmt>
      <c:pivotFmt>
        <c:idx val="1"/>
        <c:dLbl>
          <c:idx val="0"/>
          <c:delete val="1"/>
          <c:extLst xmlns:c16r2="http://schemas.microsoft.com/office/drawing/2015/06/chart">
            <c:ext xmlns:c15="http://schemas.microsoft.com/office/drawing/2012/chart" uri="{CE6537A1-D6FC-4f65-9D91-7224C49458BB}"/>
          </c:extLst>
        </c:dLbl>
      </c:pivotFmt>
      <c:pivotFmt>
        <c:idx val="2"/>
        <c:dLbl>
          <c:idx val="0"/>
          <c:delete val="1"/>
          <c:extLst xmlns:c16r2="http://schemas.microsoft.com/office/drawing/2015/06/chart">
            <c:ext xmlns:c15="http://schemas.microsoft.com/office/drawing/2012/chart" uri="{CE6537A1-D6FC-4f65-9D91-7224C49458BB}"/>
          </c:extLst>
        </c:dLbl>
      </c:pivotFmt>
      <c:pivotFmt>
        <c:idx val="3"/>
        <c:dLbl>
          <c:idx val="0"/>
          <c:delete val="1"/>
          <c:extLst xmlns:c16r2="http://schemas.microsoft.com/office/drawing/2015/06/chart">
            <c:ext xmlns:c15="http://schemas.microsoft.com/office/drawing/2012/chart" uri="{CE6537A1-D6FC-4f65-9D91-7224C49458BB}"/>
          </c:extLst>
        </c:dLbl>
      </c:pivotFmt>
      <c:pivotFmt>
        <c:idx val="4"/>
        <c:dLbl>
          <c:idx val="0"/>
          <c:delete val="1"/>
          <c:extLst xmlns:c16r2="http://schemas.microsoft.com/office/drawing/2015/06/chart">
            <c:ext xmlns:c15="http://schemas.microsoft.com/office/drawing/2012/chart" uri="{CE6537A1-D6FC-4f65-9D91-7224C49458BB}"/>
          </c:extLst>
        </c:dLbl>
      </c:pivotFmt>
      <c:pivotFmt>
        <c:idx val="5"/>
        <c:dLbl>
          <c:idx val="0"/>
          <c:delete val="1"/>
          <c:extLst xmlns:c16r2="http://schemas.microsoft.com/office/drawing/2015/06/chart">
            <c:ext xmlns:c15="http://schemas.microsoft.com/office/drawing/2012/chart" uri="{CE6537A1-D6FC-4f65-9D91-7224C49458BB}"/>
          </c:extLst>
        </c:dLbl>
      </c:pivotFmt>
      <c:pivotFmt>
        <c:idx val="6"/>
        <c:dLbl>
          <c:idx val="0"/>
          <c:delete val="1"/>
          <c:extLst xmlns:c16r2="http://schemas.microsoft.com/office/drawing/2015/06/chart">
            <c:ext xmlns:c15="http://schemas.microsoft.com/office/drawing/2012/chart" uri="{CE6537A1-D6FC-4f65-9D91-7224C49458BB}"/>
          </c:extLst>
        </c:dLbl>
      </c:pivotFmt>
      <c:pivotFmt>
        <c:idx val="7"/>
        <c:dLbl>
          <c:idx val="0"/>
          <c:delete val="1"/>
          <c:extLst xmlns:c16r2="http://schemas.microsoft.com/office/drawing/2015/06/chart">
            <c:ext xmlns:c15="http://schemas.microsoft.com/office/drawing/2012/chart" uri="{CE6537A1-D6FC-4f65-9D91-7224C49458BB}"/>
          </c:extLst>
        </c:dLbl>
      </c:pivotFmt>
      <c:pivotFmt>
        <c:idx val="8"/>
        <c:dLbl>
          <c:idx val="0"/>
          <c:delete val="1"/>
          <c:extLst xmlns:c16r2="http://schemas.microsoft.com/office/drawing/2015/06/chart">
            <c:ext xmlns:c15="http://schemas.microsoft.com/office/drawing/2012/chart" uri="{CE6537A1-D6FC-4f65-9D91-7224C49458BB}"/>
          </c:extLst>
        </c:dLbl>
      </c:pivotFmt>
      <c:pivotFmt>
        <c:idx val="9"/>
        <c:dLbl>
          <c:idx val="0"/>
          <c:delete val="1"/>
          <c:extLst xmlns:c16r2="http://schemas.microsoft.com/office/drawing/2015/06/chart">
            <c:ext xmlns:c15="http://schemas.microsoft.com/office/drawing/2012/chart" uri="{CE6537A1-D6FC-4f65-9D91-7224C49458BB}"/>
          </c:extLst>
        </c:dLbl>
      </c:pivotFmt>
      <c:pivotFmt>
        <c:idx val="10"/>
        <c:dLbl>
          <c:idx val="0"/>
          <c:delete val="1"/>
          <c:extLst xmlns:c16r2="http://schemas.microsoft.com/office/drawing/2015/06/chart">
            <c:ext xmlns:c15="http://schemas.microsoft.com/office/drawing/2012/chart" uri="{CE6537A1-D6FC-4f65-9D91-7224C49458BB}"/>
          </c:extLst>
        </c:dLbl>
      </c:pivotFmt>
      <c:pivotFmt>
        <c:idx val="11"/>
        <c:dLbl>
          <c:idx val="0"/>
          <c:delete val="1"/>
          <c:extLst xmlns:c16r2="http://schemas.microsoft.com/office/drawing/2015/06/chart">
            <c:ext xmlns:c15="http://schemas.microsoft.com/office/drawing/2012/chart" uri="{CE6537A1-D6FC-4f65-9D91-7224C49458BB}"/>
          </c:extLst>
        </c:dLbl>
      </c:pivotFmt>
      <c:pivotFmt>
        <c:idx val="12"/>
        <c:dLbl>
          <c:idx val="0"/>
          <c:delete val="1"/>
          <c:extLst xmlns:c16r2="http://schemas.microsoft.com/office/drawing/2015/06/chart">
            <c:ext xmlns:c15="http://schemas.microsoft.com/office/drawing/2012/chart" uri="{CE6537A1-D6FC-4f65-9D91-7224C49458BB}"/>
          </c:extLst>
        </c:dLbl>
      </c:pivotFmt>
      <c:pivotFmt>
        <c:idx val="13"/>
        <c:dLbl>
          <c:idx val="0"/>
          <c:delete val="1"/>
          <c:extLst xmlns:c16r2="http://schemas.microsoft.com/office/drawing/2015/06/chart">
            <c:ext xmlns:c15="http://schemas.microsoft.com/office/drawing/2012/chart" uri="{CE6537A1-D6FC-4f65-9D91-7224C49458BB}"/>
          </c:extLst>
        </c:dLbl>
      </c:pivotFmt>
      <c:pivotFmt>
        <c:idx val="14"/>
        <c:dLbl>
          <c:idx val="0"/>
          <c:delete val="1"/>
          <c:extLst xmlns:c16r2="http://schemas.microsoft.com/office/drawing/2015/06/chart">
            <c:ext xmlns:c15="http://schemas.microsoft.com/office/drawing/2012/chart" uri="{CE6537A1-D6FC-4f65-9D91-7224C49458BB}"/>
          </c:extLst>
        </c:dLbl>
      </c:pivotFmt>
      <c:pivotFmt>
        <c:idx val="15"/>
        <c:dLbl>
          <c:idx val="0"/>
          <c:delete val="1"/>
          <c:extLst xmlns:c16r2="http://schemas.microsoft.com/office/drawing/2015/06/chart">
            <c:ext xmlns:c15="http://schemas.microsoft.com/office/drawing/2012/chart" uri="{CE6537A1-D6FC-4f65-9D91-7224C49458BB}"/>
          </c:extLst>
        </c:dLbl>
      </c:pivotFmt>
      <c:pivotFmt>
        <c:idx val="16"/>
        <c:dLbl>
          <c:idx val="0"/>
          <c:delete val="1"/>
          <c:extLst xmlns:c16r2="http://schemas.microsoft.com/office/drawing/2015/06/chart">
            <c:ext xmlns:c15="http://schemas.microsoft.com/office/drawing/2012/chart" uri="{CE6537A1-D6FC-4f65-9D91-7224C49458BB}"/>
          </c:extLst>
        </c:dLbl>
      </c:pivotFmt>
      <c:pivotFmt>
        <c:idx val="17"/>
        <c:dLbl>
          <c:idx val="0"/>
          <c:delete val="1"/>
          <c:extLst xmlns:c16r2="http://schemas.microsoft.com/office/drawing/2015/06/chart">
            <c:ext xmlns:c15="http://schemas.microsoft.com/office/drawing/2012/chart" uri="{CE6537A1-D6FC-4f65-9D91-7224C49458BB}"/>
          </c:extLst>
        </c:dLbl>
      </c:pivotFmt>
      <c:pivotFmt>
        <c:idx val="18"/>
        <c:dLbl>
          <c:idx val="0"/>
          <c:delete val="1"/>
          <c:extLst xmlns:c16r2="http://schemas.microsoft.com/office/drawing/2015/06/chart">
            <c:ext xmlns:c15="http://schemas.microsoft.com/office/drawing/2012/chart" uri="{CE6537A1-D6FC-4f65-9D91-7224C49458BB}"/>
          </c:extLst>
        </c:dLbl>
      </c:pivotFmt>
      <c:pivotFmt>
        <c:idx val="19"/>
        <c:dLbl>
          <c:idx val="0"/>
          <c:delete val="1"/>
          <c:extLst xmlns:c16r2="http://schemas.microsoft.com/office/drawing/2015/06/chart">
            <c:ext xmlns:c15="http://schemas.microsoft.com/office/drawing/2012/chart" uri="{CE6537A1-D6FC-4f65-9D91-7224C49458BB}"/>
          </c:extLst>
        </c:dLbl>
      </c:pivotFmt>
      <c:pivotFmt>
        <c:idx val="20"/>
        <c:dLbl>
          <c:idx val="0"/>
          <c:delete val="1"/>
          <c:extLst xmlns:c16r2="http://schemas.microsoft.com/office/drawing/2015/06/chart">
            <c:ext xmlns:c15="http://schemas.microsoft.com/office/drawing/2012/chart" uri="{CE6537A1-D6FC-4f65-9D91-7224C49458BB}"/>
          </c:extLst>
        </c:dLbl>
      </c:pivotFmt>
      <c:pivotFmt>
        <c:idx val="21"/>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22"/>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pivotFmt>
    </c:pivotFmts>
    <c:plotArea>
      <c:layout/>
      <c:lineChart>
        <c:grouping val="standard"/>
        <c:varyColors val="0"/>
        <c:ser>
          <c:idx val="0"/>
          <c:order val="0"/>
          <c:tx>
            <c:strRef>
              <c:f>'Tablas dinamicas'!$Q$50</c:f>
              <c:strCache>
                <c:ptCount val="1"/>
                <c:pt idx="0">
                  <c:v>Suma de Total Cuenta Real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'Tablas dinamicas'!$P$51:$P$83</c:f>
              <c:strCache>
                <c:ptCount val="32"/>
                <c:pt idx="0">
                  <c:v>20-Nov</c:v>
                </c:pt>
                <c:pt idx="1">
                  <c:v>21-Nov</c:v>
                </c:pt>
                <c:pt idx="2">
                  <c:v>22-Nov</c:v>
                </c:pt>
                <c:pt idx="3">
                  <c:v>23-Nov</c:v>
                </c:pt>
                <c:pt idx="4">
                  <c:v>24-Nov</c:v>
                </c:pt>
                <c:pt idx="5">
                  <c:v>25-Nov</c:v>
                </c:pt>
                <c:pt idx="6">
                  <c:v>26-Nov</c:v>
                </c:pt>
                <c:pt idx="7">
                  <c:v>27-Nov</c:v>
                </c:pt>
                <c:pt idx="8">
                  <c:v>28-Nov</c:v>
                </c:pt>
                <c:pt idx="9">
                  <c:v>29-Nov</c:v>
                </c:pt>
                <c:pt idx="10">
                  <c:v>30-Nov</c:v>
                </c:pt>
                <c:pt idx="11">
                  <c:v>1-Dec</c:v>
                </c:pt>
                <c:pt idx="12">
                  <c:v>2-Dec</c:v>
                </c:pt>
                <c:pt idx="13">
                  <c:v>3-Dec</c:v>
                </c:pt>
                <c:pt idx="14">
                  <c:v>4-Dec</c:v>
                </c:pt>
                <c:pt idx="15">
                  <c:v>5-Dec</c:v>
                </c:pt>
                <c:pt idx="16">
                  <c:v>6-Dec</c:v>
                </c:pt>
                <c:pt idx="17">
                  <c:v>7-Dec</c:v>
                </c:pt>
                <c:pt idx="18">
                  <c:v>8-Dec</c:v>
                </c:pt>
                <c:pt idx="19">
                  <c:v>9-Dec</c:v>
                </c:pt>
                <c:pt idx="20">
                  <c:v>10-Dec</c:v>
                </c:pt>
                <c:pt idx="21">
                  <c:v>11-Dec</c:v>
                </c:pt>
                <c:pt idx="22">
                  <c:v>12-Dec</c:v>
                </c:pt>
                <c:pt idx="23">
                  <c:v>13-Dec</c:v>
                </c:pt>
                <c:pt idx="24">
                  <c:v>14-Dec</c:v>
                </c:pt>
                <c:pt idx="25">
                  <c:v>15-Dec</c:v>
                </c:pt>
                <c:pt idx="26">
                  <c:v>16-Dec</c:v>
                </c:pt>
                <c:pt idx="27">
                  <c:v>17-Dec</c:v>
                </c:pt>
                <c:pt idx="28">
                  <c:v>18-Dec</c:v>
                </c:pt>
                <c:pt idx="29">
                  <c:v>19-Dec</c:v>
                </c:pt>
                <c:pt idx="30">
                  <c:v>20-Dec</c:v>
                </c:pt>
                <c:pt idx="31">
                  <c:v>21-Dec</c:v>
                </c:pt>
              </c:strCache>
            </c:strRef>
          </c:cat>
          <c:val>
            <c:numRef>
              <c:f>'Tablas dinamicas'!$Q$51:$Q$83</c:f>
              <c:numCache>
                <c:formatCode>0</c:formatCode>
                <c:ptCount val="32"/>
                <c:pt idx="0">
                  <c:v>1199</c:v>
                </c:pt>
                <c:pt idx="1">
                  <c:v>1199</c:v>
                </c:pt>
                <c:pt idx="2">
                  <c:v>1199</c:v>
                </c:pt>
                <c:pt idx="3">
                  <c:v>1228.2</c:v>
                </c:pt>
                <c:pt idx="4">
                  <c:v>1271.6000000000001</c:v>
                </c:pt>
                <c:pt idx="5">
                  <c:v>1279.3000000000004</c:v>
                </c:pt>
                <c:pt idx="6">
                  <c:v>1279.3000000000004</c:v>
                </c:pt>
                <c:pt idx="7">
                  <c:v>1287.9999999999998</c:v>
                </c:pt>
                <c:pt idx="8">
                  <c:v>1287.9999999999998</c:v>
                </c:pt>
                <c:pt idx="9">
                  <c:v>1287.9999999999998</c:v>
                </c:pt>
                <c:pt idx="10">
                  <c:v>1246.3999999999999</c:v>
                </c:pt>
                <c:pt idx="11">
                  <c:v>1264.7000000000007</c:v>
                </c:pt>
                <c:pt idx="12">
                  <c:v>1264.4000000000015</c:v>
                </c:pt>
                <c:pt idx="13">
                  <c:v>1217.2000000000016</c:v>
                </c:pt>
                <c:pt idx="14">
                  <c:v>1216.9000000000012</c:v>
                </c:pt>
                <c:pt idx="15">
                  <c:v>1216.9000000000012</c:v>
                </c:pt>
                <c:pt idx="16">
                  <c:v>1216.9000000000012</c:v>
                </c:pt>
                <c:pt idx="17">
                  <c:v>1216.9000000000012</c:v>
                </c:pt>
                <c:pt idx="18">
                  <c:v>1216.9000000000012</c:v>
                </c:pt>
                <c:pt idx="19">
                  <c:v>1230.900000000003</c:v>
                </c:pt>
                <c:pt idx="20">
                  <c:v>1257.0000000000032</c:v>
                </c:pt>
                <c:pt idx="21">
                  <c:v>1242.5000000000025</c:v>
                </c:pt>
                <c:pt idx="22">
                  <c:v>1242.5000000000025</c:v>
                </c:pt>
                <c:pt idx="23">
                  <c:v>1242.5000000000025</c:v>
                </c:pt>
                <c:pt idx="24">
                  <c:v>1242.5000000000025</c:v>
                </c:pt>
                <c:pt idx="25">
                  <c:v>1242.5000000000025</c:v>
                </c:pt>
                <c:pt idx="26">
                  <c:v>1242.5000000000025</c:v>
                </c:pt>
                <c:pt idx="27">
                  <c:v>1242.5000000000025</c:v>
                </c:pt>
                <c:pt idx="28">
                  <c:v>1242.5000000000025</c:v>
                </c:pt>
                <c:pt idx="29">
                  <c:v>1242.5000000000025</c:v>
                </c:pt>
                <c:pt idx="30">
                  <c:v>11578.500000000004</c:v>
                </c:pt>
                <c:pt idx="31">
                  <c:v>11578.500000000004</c:v>
                </c:pt>
              </c:numCache>
            </c:numRef>
          </c:val>
          <c:smooth val="0"/>
          <c:extLst xmlns:c16r2="http://schemas.microsoft.com/office/drawing/2015/06/chart">
            <c:ext xmlns:c16="http://schemas.microsoft.com/office/drawing/2014/chart" uri="{C3380CC4-5D6E-409C-BE32-E72D297353CC}">
              <c16:uniqueId val="{00000000-B205-43FC-9A64-00243D592F8E}"/>
            </c:ext>
          </c:extLst>
        </c:ser>
        <c:ser>
          <c:idx val="1"/>
          <c:order val="1"/>
          <c:tx>
            <c:strRef>
              <c:f>'Tablas dinamicas'!$R$50</c:f>
              <c:strCache>
                <c:ptCount val="1"/>
                <c:pt idx="0">
                  <c:v>Suma de Cuenta mas Objetivo</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cat>
            <c:strRef>
              <c:f>'Tablas dinamicas'!$P$51:$P$83</c:f>
              <c:strCache>
                <c:ptCount val="32"/>
                <c:pt idx="0">
                  <c:v>20-Nov</c:v>
                </c:pt>
                <c:pt idx="1">
                  <c:v>21-Nov</c:v>
                </c:pt>
                <c:pt idx="2">
                  <c:v>22-Nov</c:v>
                </c:pt>
                <c:pt idx="3">
                  <c:v>23-Nov</c:v>
                </c:pt>
                <c:pt idx="4">
                  <c:v>24-Nov</c:v>
                </c:pt>
                <c:pt idx="5">
                  <c:v>25-Nov</c:v>
                </c:pt>
                <c:pt idx="6">
                  <c:v>26-Nov</c:v>
                </c:pt>
                <c:pt idx="7">
                  <c:v>27-Nov</c:v>
                </c:pt>
                <c:pt idx="8">
                  <c:v>28-Nov</c:v>
                </c:pt>
                <c:pt idx="9">
                  <c:v>29-Nov</c:v>
                </c:pt>
                <c:pt idx="10">
                  <c:v>30-Nov</c:v>
                </c:pt>
                <c:pt idx="11">
                  <c:v>1-Dec</c:v>
                </c:pt>
                <c:pt idx="12">
                  <c:v>2-Dec</c:v>
                </c:pt>
                <c:pt idx="13">
                  <c:v>3-Dec</c:v>
                </c:pt>
                <c:pt idx="14">
                  <c:v>4-Dec</c:v>
                </c:pt>
                <c:pt idx="15">
                  <c:v>5-Dec</c:v>
                </c:pt>
                <c:pt idx="16">
                  <c:v>6-Dec</c:v>
                </c:pt>
                <c:pt idx="17">
                  <c:v>7-Dec</c:v>
                </c:pt>
                <c:pt idx="18">
                  <c:v>8-Dec</c:v>
                </c:pt>
                <c:pt idx="19">
                  <c:v>9-Dec</c:v>
                </c:pt>
                <c:pt idx="20">
                  <c:v>10-Dec</c:v>
                </c:pt>
                <c:pt idx="21">
                  <c:v>11-Dec</c:v>
                </c:pt>
                <c:pt idx="22">
                  <c:v>12-Dec</c:v>
                </c:pt>
                <c:pt idx="23">
                  <c:v>13-Dec</c:v>
                </c:pt>
                <c:pt idx="24">
                  <c:v>14-Dec</c:v>
                </c:pt>
                <c:pt idx="25">
                  <c:v>15-Dec</c:v>
                </c:pt>
                <c:pt idx="26">
                  <c:v>16-Dec</c:v>
                </c:pt>
                <c:pt idx="27">
                  <c:v>17-Dec</c:v>
                </c:pt>
                <c:pt idx="28">
                  <c:v>18-Dec</c:v>
                </c:pt>
                <c:pt idx="29">
                  <c:v>19-Dec</c:v>
                </c:pt>
                <c:pt idx="30">
                  <c:v>20-Dec</c:v>
                </c:pt>
                <c:pt idx="31">
                  <c:v>21-Dec</c:v>
                </c:pt>
              </c:strCache>
            </c:strRef>
          </c:cat>
          <c:val>
            <c:numRef>
              <c:f>'Tablas dinamicas'!$R$51:$R$83</c:f>
              <c:numCache>
                <c:formatCode>0</c:formatCode>
                <c:ptCount val="32"/>
                <c:pt idx="0">
                  <c:v>1249</c:v>
                </c:pt>
                <c:pt idx="1">
                  <c:v>1249</c:v>
                </c:pt>
                <c:pt idx="2">
                  <c:v>1249</c:v>
                </c:pt>
                <c:pt idx="3">
                  <c:v>1299</c:v>
                </c:pt>
                <c:pt idx="4">
                  <c:v>1349</c:v>
                </c:pt>
                <c:pt idx="5">
                  <c:v>1399</c:v>
                </c:pt>
                <c:pt idx="6">
                  <c:v>1399</c:v>
                </c:pt>
                <c:pt idx="7">
                  <c:v>1449</c:v>
                </c:pt>
                <c:pt idx="8">
                  <c:v>1449</c:v>
                </c:pt>
                <c:pt idx="9">
                  <c:v>1449</c:v>
                </c:pt>
                <c:pt idx="10">
                  <c:v>1499</c:v>
                </c:pt>
                <c:pt idx="11">
                  <c:v>1549</c:v>
                </c:pt>
                <c:pt idx="12">
                  <c:v>1599</c:v>
                </c:pt>
                <c:pt idx="13">
                  <c:v>1649</c:v>
                </c:pt>
                <c:pt idx="14">
                  <c:v>1699</c:v>
                </c:pt>
                <c:pt idx="15">
                  <c:v>1699</c:v>
                </c:pt>
                <c:pt idx="16">
                  <c:v>1699</c:v>
                </c:pt>
                <c:pt idx="17">
                  <c:v>1699</c:v>
                </c:pt>
                <c:pt idx="18">
                  <c:v>1699</c:v>
                </c:pt>
                <c:pt idx="19">
                  <c:v>1749</c:v>
                </c:pt>
                <c:pt idx="20">
                  <c:v>1799</c:v>
                </c:pt>
                <c:pt idx="21">
                  <c:v>1849</c:v>
                </c:pt>
                <c:pt idx="22">
                  <c:v>1849</c:v>
                </c:pt>
                <c:pt idx="23">
                  <c:v>1849</c:v>
                </c:pt>
                <c:pt idx="24">
                  <c:v>1849</c:v>
                </c:pt>
                <c:pt idx="25">
                  <c:v>1849</c:v>
                </c:pt>
                <c:pt idx="26">
                  <c:v>1849</c:v>
                </c:pt>
                <c:pt idx="27">
                  <c:v>1849</c:v>
                </c:pt>
                <c:pt idx="28">
                  <c:v>1849</c:v>
                </c:pt>
                <c:pt idx="29">
                  <c:v>1849</c:v>
                </c:pt>
                <c:pt idx="30">
                  <c:v>1849</c:v>
                </c:pt>
                <c:pt idx="31">
                  <c:v>1849</c:v>
                </c:pt>
              </c:numCache>
            </c:numRef>
          </c:val>
          <c:smooth val="0"/>
          <c:extLst xmlns:c16r2="http://schemas.microsoft.com/office/drawing/2015/06/chart">
            <c:ext xmlns:c16="http://schemas.microsoft.com/office/drawing/2014/chart" uri="{C3380CC4-5D6E-409C-BE32-E72D297353CC}">
              <c16:uniqueId val="{00000016-B205-43FC-9A64-00243D592F8E}"/>
            </c:ext>
          </c:extLst>
        </c:ser>
        <c:dLbls>
          <c:showLegendKey val="0"/>
          <c:showVal val="0"/>
          <c:showCatName val="0"/>
          <c:showSerName val="0"/>
          <c:showPercent val="0"/>
          <c:showBubbleSize val="0"/>
        </c:dLbls>
        <c:marker val="1"/>
        <c:smooth val="0"/>
        <c:axId val="191517440"/>
        <c:axId val="191519360"/>
      </c:lineChart>
      <c:catAx>
        <c:axId val="19151744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91519360"/>
        <c:crosses val="autoZero"/>
        <c:auto val="1"/>
        <c:lblAlgn val="ctr"/>
        <c:lblOffset val="100"/>
        <c:noMultiLvlLbl val="0"/>
      </c:catAx>
      <c:valAx>
        <c:axId val="191519360"/>
        <c:scaling>
          <c:orientation val="minMax"/>
          <c:min val="2500"/>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9151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dinamicas!6</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Minutos por Operación</a:t>
            </a:r>
          </a:p>
        </c:rich>
      </c:tx>
      <c:overlay val="0"/>
      <c:spPr>
        <a:noFill/>
        <a:ln>
          <a:noFill/>
        </a:ln>
        <a:effectLst/>
      </c:spPr>
    </c:title>
    <c:autoTitleDeleted val="0"/>
    <c:pivotFmts>
      <c:pivotFmt>
        <c:idx val="0"/>
        <c:dLbl>
          <c:idx val="0"/>
          <c:delete val="1"/>
          <c:extLst xmlns:c16r2="http://schemas.microsoft.com/office/drawing/2015/06/chart">
            <c:ext xmlns:c15="http://schemas.microsoft.com/office/drawing/2012/chart" uri="{CE6537A1-D6FC-4f65-9D91-7224C49458BB}"/>
          </c:extLst>
        </c:dLbl>
      </c:pivotFmt>
      <c:pivotFmt>
        <c:idx val="1"/>
        <c:dLbl>
          <c:idx val="0"/>
          <c:delete val="1"/>
          <c:extLst xmlns:c16r2="http://schemas.microsoft.com/office/drawing/2015/06/chart">
            <c:ext xmlns:c15="http://schemas.microsoft.com/office/drawing/2012/chart" uri="{CE6537A1-D6FC-4f65-9D91-7224C49458BB}"/>
          </c:extLst>
        </c:dLbl>
      </c:pivotFmt>
      <c:pivotFmt>
        <c:idx val="2"/>
        <c:dLbl>
          <c:idx val="0"/>
          <c:delete val="1"/>
          <c:extLst xmlns:c16r2="http://schemas.microsoft.com/office/drawing/2015/06/chart">
            <c:ext xmlns:c15="http://schemas.microsoft.com/office/drawing/2012/chart" uri="{CE6537A1-D6FC-4f65-9D91-7224C49458BB}"/>
          </c:extLst>
        </c:dLbl>
      </c:pivotFmt>
      <c:pivotFmt>
        <c:idx val="3"/>
        <c:dLbl>
          <c:idx val="0"/>
          <c:delete val="1"/>
          <c:extLst xmlns:c16r2="http://schemas.microsoft.com/office/drawing/2015/06/chart">
            <c:ext xmlns:c15="http://schemas.microsoft.com/office/drawing/2012/chart" uri="{CE6537A1-D6FC-4f65-9D91-7224C49458BB}"/>
          </c:extLst>
        </c:dLbl>
      </c:pivotFmt>
      <c:pivotFmt>
        <c:idx val="4"/>
        <c:dLbl>
          <c:idx val="0"/>
          <c:delete val="1"/>
          <c:extLst xmlns:c16r2="http://schemas.microsoft.com/office/drawing/2015/06/chart">
            <c:ext xmlns:c15="http://schemas.microsoft.com/office/drawing/2012/chart" uri="{CE6537A1-D6FC-4f65-9D91-7224C49458BB}"/>
          </c:extLst>
        </c:dLbl>
      </c:pivotFmt>
      <c:pivotFmt>
        <c:idx val="5"/>
        <c:dLbl>
          <c:idx val="0"/>
          <c:delete val="1"/>
          <c:extLst xmlns:c16r2="http://schemas.microsoft.com/office/drawing/2015/06/chart">
            <c:ext xmlns:c15="http://schemas.microsoft.com/office/drawing/2012/chart" uri="{CE6537A1-D6FC-4f65-9D91-7224C49458BB}"/>
          </c:extLst>
        </c:dLbl>
      </c:pivotFmt>
      <c:pivotFmt>
        <c:idx val="6"/>
        <c:dLbl>
          <c:idx val="0"/>
          <c:delete val="1"/>
          <c:extLst xmlns:c16r2="http://schemas.microsoft.com/office/drawing/2015/06/chart">
            <c:ext xmlns:c15="http://schemas.microsoft.com/office/drawing/2012/chart" uri="{CE6537A1-D6FC-4f65-9D91-7224C49458BB}"/>
          </c:extLst>
        </c:dLbl>
      </c:pivotFmt>
      <c:pivotFmt>
        <c:idx val="7"/>
        <c:dLbl>
          <c:idx val="0"/>
          <c:delete val="1"/>
          <c:extLst xmlns:c16r2="http://schemas.microsoft.com/office/drawing/2015/06/chart">
            <c:ext xmlns:c15="http://schemas.microsoft.com/office/drawing/2012/chart" uri="{CE6537A1-D6FC-4f65-9D91-7224C49458BB}"/>
          </c:extLst>
        </c:dLbl>
      </c:pivotFmt>
      <c:pivotFmt>
        <c:idx val="8"/>
        <c:dLbl>
          <c:idx val="0"/>
          <c:delete val="1"/>
          <c:extLst xmlns:c16r2="http://schemas.microsoft.com/office/drawing/2015/06/chart">
            <c:ext xmlns:c15="http://schemas.microsoft.com/office/drawing/2012/chart" uri="{CE6537A1-D6FC-4f65-9D91-7224C49458BB}"/>
          </c:extLst>
        </c:dLbl>
      </c:pivotFmt>
      <c:pivotFmt>
        <c:idx val="9"/>
        <c:dLbl>
          <c:idx val="0"/>
          <c:delete val="1"/>
          <c:extLst xmlns:c16r2="http://schemas.microsoft.com/office/drawing/2015/06/char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spPr>
          <a:noFill/>
          <a:ln w="9525" cap="flat" cmpd="sng" algn="ctr">
            <a:solidFill>
              <a:schemeClr val="accent3"/>
            </a:solidFill>
            <a:miter lim="800000"/>
          </a:ln>
          <a:effectLst>
            <a:glow rad="63500">
              <a:schemeClr val="accent3">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3"/>
        <c:spPr>
          <a:noFill/>
          <a:ln w="9525" cap="flat" cmpd="sng" algn="ctr">
            <a:solidFill>
              <a:schemeClr val="accent4"/>
            </a:solidFill>
            <a:miter lim="800000"/>
          </a:ln>
          <a:effectLst>
            <a:glow rad="63500">
              <a:schemeClr val="accent4">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spPr>
          <a:noFill/>
          <a:ln w="9525" cap="flat" cmpd="sng" algn="ctr">
            <a:solidFill>
              <a:schemeClr val="accent5"/>
            </a:solidFill>
            <a:miter lim="800000"/>
          </a:ln>
          <a:effectLst>
            <a:glow rad="63500">
              <a:schemeClr val="accent5">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'Tablas dinamicas'!$Q$123:$Q$124</c:f>
              <c:strCache>
                <c:ptCount val="1"/>
                <c:pt idx="0">
                  <c:v>1</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dinamicas'!$Q$125:$Q$157</c:f>
              <c:numCache>
                <c:formatCode>h:mm</c:formatCode>
                <c:ptCount val="32"/>
                <c:pt idx="0">
                  <c:v>1.7708333333333332E-3</c:v>
                </c:pt>
                <c:pt idx="1">
                  <c:v>0</c:v>
                </c:pt>
                <c:pt idx="2">
                  <c:v>0</c:v>
                </c:pt>
                <c:pt idx="3">
                  <c:v>8.5879629629629622E-3</c:v>
                </c:pt>
                <c:pt idx="4">
                  <c:v>0</c:v>
                </c:pt>
                <c:pt idx="5">
                  <c:v>2.2361111111111113E-2</c:v>
                </c:pt>
                <c:pt idx="6">
                  <c:v>0</c:v>
                </c:pt>
                <c:pt idx="7">
                  <c:v>1.6770833333333332E-2</c:v>
                </c:pt>
                <c:pt idx="8">
                  <c:v>0</c:v>
                </c:pt>
                <c:pt idx="9">
                  <c:v>0</c:v>
                </c:pt>
                <c:pt idx="10">
                  <c:v>4.6643518518518518E-3</c:v>
                </c:pt>
                <c:pt idx="11">
                  <c:v>6.9444444444444447E-4</c:v>
                </c:pt>
                <c:pt idx="12">
                  <c:v>2.9398148148148148E-3</c:v>
                </c:pt>
                <c:pt idx="13">
                  <c:v>1.4814814814814814E-3</c:v>
                </c:pt>
                <c:pt idx="14">
                  <c:v>9.6990740740740735E-3</c:v>
                </c:pt>
                <c:pt idx="15">
                  <c:v>0</c:v>
                </c:pt>
                <c:pt idx="16">
                  <c:v>0</c:v>
                </c:pt>
                <c:pt idx="17">
                  <c:v>0</c:v>
                </c:pt>
                <c:pt idx="18">
                  <c:v>0</c:v>
                </c:pt>
                <c:pt idx="19">
                  <c:v>8.4837962962962966E-3</c:v>
                </c:pt>
                <c:pt idx="20">
                  <c:v>1.2118055555555556E-2</c:v>
                </c:pt>
                <c:pt idx="21">
                  <c:v>5.4513888888888884E-3</c:v>
                </c:pt>
                <c:pt idx="22">
                  <c:v>0</c:v>
                </c:pt>
                <c:pt idx="23">
                  <c:v>0</c:v>
                </c:pt>
                <c:pt idx="24">
                  <c:v>0</c:v>
                </c:pt>
                <c:pt idx="25">
                  <c:v>0</c:v>
                </c:pt>
                <c:pt idx="26">
                  <c:v>0</c:v>
                </c:pt>
                <c:pt idx="27">
                  <c:v>0</c:v>
                </c:pt>
                <c:pt idx="28">
                  <c:v>0</c:v>
                </c:pt>
                <c:pt idx="31">
                  <c:v>0</c:v>
                </c:pt>
              </c:numCache>
            </c:numRef>
          </c:val>
          <c:extLst xmlns:c16r2="http://schemas.microsoft.com/office/drawing/2015/06/chart">
            <c:ext xmlns:c16="http://schemas.microsoft.com/office/drawing/2014/chart" uri="{C3380CC4-5D6E-409C-BE32-E72D297353CC}">
              <c16:uniqueId val="{00000000-270C-4A5E-83EE-F7D1A89F4535}"/>
            </c:ext>
          </c:extLst>
        </c:ser>
        <c:ser>
          <c:idx val="1"/>
          <c:order val="1"/>
          <c:tx>
            <c:strRef>
              <c:f>'Tablas dinamicas'!$R$123:$R$124</c:f>
              <c:strCache>
                <c:ptCount val="1"/>
                <c:pt idx="0">
                  <c:v>2</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dinamicas'!$R$125:$R$157</c:f>
              <c:numCache>
                <c:formatCode>h:mm</c:formatCode>
                <c:ptCount val="32"/>
                <c:pt idx="0">
                  <c:v>6.4583333333333333E-3</c:v>
                </c:pt>
                <c:pt idx="1">
                  <c:v>0</c:v>
                </c:pt>
                <c:pt idx="2">
                  <c:v>0</c:v>
                </c:pt>
                <c:pt idx="3">
                  <c:v>0</c:v>
                </c:pt>
                <c:pt idx="4">
                  <c:v>0</c:v>
                </c:pt>
                <c:pt idx="5">
                  <c:v>0</c:v>
                </c:pt>
                <c:pt idx="6">
                  <c:v>0</c:v>
                </c:pt>
                <c:pt idx="7">
                  <c:v>0</c:v>
                </c:pt>
                <c:pt idx="8">
                  <c:v>0</c:v>
                </c:pt>
                <c:pt idx="9">
                  <c:v>0</c:v>
                </c:pt>
                <c:pt idx="10">
                  <c:v>1.2256944444444444E-2</c:v>
                </c:pt>
                <c:pt idx="11">
                  <c:v>1.423611111111111E-3</c:v>
                </c:pt>
                <c:pt idx="12">
                  <c:v>0</c:v>
                </c:pt>
                <c:pt idx="13">
                  <c:v>1.7222222222222222E-2</c:v>
                </c:pt>
                <c:pt idx="14">
                  <c:v>0</c:v>
                </c:pt>
                <c:pt idx="15">
                  <c:v>0</c:v>
                </c:pt>
                <c:pt idx="16">
                  <c:v>0</c:v>
                </c:pt>
                <c:pt idx="17">
                  <c:v>0</c:v>
                </c:pt>
                <c:pt idx="18">
                  <c:v>0</c:v>
                </c:pt>
                <c:pt idx="19">
                  <c:v>1.3194444444444444E-2</c:v>
                </c:pt>
                <c:pt idx="20">
                  <c:v>7.3958333333333341E-3</c:v>
                </c:pt>
                <c:pt idx="21">
                  <c:v>1.8518518518518518E-4</c:v>
                </c:pt>
                <c:pt idx="22">
                  <c:v>0</c:v>
                </c:pt>
                <c:pt idx="23">
                  <c:v>0</c:v>
                </c:pt>
                <c:pt idx="24">
                  <c:v>0</c:v>
                </c:pt>
                <c:pt idx="25">
                  <c:v>0</c:v>
                </c:pt>
                <c:pt idx="26">
                  <c:v>0</c:v>
                </c:pt>
                <c:pt idx="27">
                  <c:v>0</c:v>
                </c:pt>
                <c:pt idx="28">
                  <c:v>0</c:v>
                </c:pt>
                <c:pt idx="31">
                  <c:v>0</c:v>
                </c:pt>
              </c:numCache>
            </c:numRef>
          </c:val>
        </c:ser>
        <c:ser>
          <c:idx val="2"/>
          <c:order val="2"/>
          <c:tx>
            <c:strRef>
              <c:f>'Tablas dinamicas'!$S$123:$S$124</c:f>
              <c:strCache>
                <c:ptCount val="1"/>
                <c:pt idx="0">
                  <c:v>3</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dinamicas'!$S$125:$S$157</c:f>
              <c:numCache>
                <c:formatCode>h:mm</c:formatCode>
                <c:ptCount val="32"/>
                <c:pt idx="0">
                  <c:v>0</c:v>
                </c:pt>
                <c:pt idx="1">
                  <c:v>0</c:v>
                </c:pt>
                <c:pt idx="2">
                  <c:v>0</c:v>
                </c:pt>
                <c:pt idx="3">
                  <c:v>0</c:v>
                </c:pt>
                <c:pt idx="4">
                  <c:v>0</c:v>
                </c:pt>
                <c:pt idx="5">
                  <c:v>0</c:v>
                </c:pt>
                <c:pt idx="6">
                  <c:v>0</c:v>
                </c:pt>
                <c:pt idx="7">
                  <c:v>0</c:v>
                </c:pt>
                <c:pt idx="8">
                  <c:v>0</c:v>
                </c:pt>
                <c:pt idx="9">
                  <c:v>0</c:v>
                </c:pt>
                <c:pt idx="10">
                  <c:v>0</c:v>
                </c:pt>
                <c:pt idx="11">
                  <c:v>3.7500000000000003E-3</c:v>
                </c:pt>
                <c:pt idx="12">
                  <c:v>0</c:v>
                </c:pt>
                <c:pt idx="13">
                  <c:v>5.7291666666666671E-3</c:v>
                </c:pt>
                <c:pt idx="14">
                  <c:v>0</c:v>
                </c:pt>
                <c:pt idx="15">
                  <c:v>0</c:v>
                </c:pt>
                <c:pt idx="16">
                  <c:v>0</c:v>
                </c:pt>
                <c:pt idx="17">
                  <c:v>0</c:v>
                </c:pt>
                <c:pt idx="18">
                  <c:v>0</c:v>
                </c:pt>
                <c:pt idx="19">
                  <c:v>4.4444444444444444E-3</c:v>
                </c:pt>
                <c:pt idx="20">
                  <c:v>2.372685185185185E-2</c:v>
                </c:pt>
                <c:pt idx="21">
                  <c:v>1.3194444444444443E-3</c:v>
                </c:pt>
                <c:pt idx="22">
                  <c:v>0</c:v>
                </c:pt>
                <c:pt idx="23">
                  <c:v>0</c:v>
                </c:pt>
                <c:pt idx="24">
                  <c:v>0</c:v>
                </c:pt>
                <c:pt idx="25">
                  <c:v>0</c:v>
                </c:pt>
                <c:pt idx="26">
                  <c:v>0</c:v>
                </c:pt>
                <c:pt idx="27">
                  <c:v>0</c:v>
                </c:pt>
                <c:pt idx="28">
                  <c:v>0</c:v>
                </c:pt>
                <c:pt idx="31">
                  <c:v>0</c:v>
                </c:pt>
              </c:numCache>
            </c:numRef>
          </c:val>
        </c:ser>
        <c:ser>
          <c:idx val="3"/>
          <c:order val="3"/>
          <c:tx>
            <c:strRef>
              <c:f>'Tablas dinamicas'!$T$123:$T$124</c:f>
              <c:strCache>
                <c:ptCount val="1"/>
                <c:pt idx="0">
                  <c:v>4</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dinamicas'!$T$125:$T$157</c:f>
              <c:numCache>
                <c:formatCode>h:mm</c:formatCode>
                <c:ptCount val="32"/>
                <c:pt idx="0">
                  <c:v>0</c:v>
                </c:pt>
                <c:pt idx="1">
                  <c:v>0</c:v>
                </c:pt>
                <c:pt idx="2">
                  <c:v>0</c:v>
                </c:pt>
                <c:pt idx="3">
                  <c:v>0</c:v>
                </c:pt>
                <c:pt idx="4">
                  <c:v>0</c:v>
                </c:pt>
                <c:pt idx="5">
                  <c:v>0</c:v>
                </c:pt>
                <c:pt idx="6">
                  <c:v>0</c:v>
                </c:pt>
                <c:pt idx="7">
                  <c:v>0</c:v>
                </c:pt>
                <c:pt idx="8">
                  <c:v>0</c:v>
                </c:pt>
                <c:pt idx="9">
                  <c:v>0</c:v>
                </c:pt>
                <c:pt idx="10">
                  <c:v>0</c:v>
                </c:pt>
                <c:pt idx="11">
                  <c:v>1.9560185185185184E-3</c:v>
                </c:pt>
                <c:pt idx="12">
                  <c:v>0</c:v>
                </c:pt>
                <c:pt idx="13">
                  <c:v>1.4282407407407409E-2</c:v>
                </c:pt>
                <c:pt idx="14">
                  <c:v>0</c:v>
                </c:pt>
                <c:pt idx="15">
                  <c:v>0</c:v>
                </c:pt>
                <c:pt idx="16">
                  <c:v>0</c:v>
                </c:pt>
                <c:pt idx="17">
                  <c:v>0</c:v>
                </c:pt>
                <c:pt idx="18">
                  <c:v>0</c:v>
                </c:pt>
                <c:pt idx="19">
                  <c:v>1.5150462962962963E-2</c:v>
                </c:pt>
                <c:pt idx="20">
                  <c:v>0</c:v>
                </c:pt>
                <c:pt idx="21">
                  <c:v>2.7777777777777779E-3</c:v>
                </c:pt>
                <c:pt idx="22">
                  <c:v>0</c:v>
                </c:pt>
                <c:pt idx="23">
                  <c:v>0</c:v>
                </c:pt>
                <c:pt idx="24">
                  <c:v>0</c:v>
                </c:pt>
                <c:pt idx="25">
                  <c:v>0</c:v>
                </c:pt>
                <c:pt idx="26">
                  <c:v>0</c:v>
                </c:pt>
                <c:pt idx="27">
                  <c:v>0</c:v>
                </c:pt>
                <c:pt idx="28">
                  <c:v>0</c:v>
                </c:pt>
                <c:pt idx="31">
                  <c:v>0</c:v>
                </c:pt>
              </c:numCache>
            </c:numRef>
          </c:val>
        </c:ser>
        <c:ser>
          <c:idx val="4"/>
          <c:order val="4"/>
          <c:tx>
            <c:strRef>
              <c:f>'Tablas dinamicas'!$U$123:$U$124</c:f>
              <c:strCache>
                <c:ptCount val="1"/>
                <c:pt idx="0">
                  <c:v>5</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dinamicas'!$U$125:$U$157</c:f>
              <c:numCache>
                <c:formatCode>h:mm</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8.7152777777777784E-3</c:v>
                </c:pt>
                <c:pt idx="20">
                  <c:v>0</c:v>
                </c:pt>
                <c:pt idx="21">
                  <c:v>3.4375E-3</c:v>
                </c:pt>
                <c:pt idx="22">
                  <c:v>0</c:v>
                </c:pt>
                <c:pt idx="23">
                  <c:v>0</c:v>
                </c:pt>
                <c:pt idx="24">
                  <c:v>0</c:v>
                </c:pt>
                <c:pt idx="25">
                  <c:v>0</c:v>
                </c:pt>
                <c:pt idx="26">
                  <c:v>0</c:v>
                </c:pt>
                <c:pt idx="27">
                  <c:v>0</c:v>
                </c:pt>
                <c:pt idx="28">
                  <c:v>0</c:v>
                </c:pt>
                <c:pt idx="31">
                  <c:v>0</c:v>
                </c:pt>
              </c:numCache>
            </c:numRef>
          </c:val>
        </c:ser>
        <c:ser>
          <c:idx val="5"/>
          <c:order val="5"/>
          <c:tx>
            <c:strRef>
              <c:f>'Tablas dinamicas'!$V$123:$V$124</c:f>
              <c:strCache>
                <c:ptCount val="1"/>
                <c:pt idx="0">
                  <c:v>(en blanco)</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c:txPr>
              <a:bodyPr/>
              <a:lstStyle/>
              <a:p>
                <a:pPr>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dinamicas'!$V$125:$V$157</c:f>
              <c:numCache>
                <c:formatCode>h:mm</c:formatCode>
                <c:ptCount val="32"/>
                <c:pt idx="29">
                  <c:v>0</c:v>
                </c:pt>
                <c:pt idx="30">
                  <c:v>0</c:v>
                </c:pt>
              </c:numCache>
            </c:numRef>
          </c:val>
        </c:ser>
        <c:dLbls>
          <c:dLblPos val="outEnd"/>
          <c:showLegendKey val="0"/>
          <c:showVal val="1"/>
          <c:showCatName val="0"/>
          <c:showSerName val="0"/>
          <c:showPercent val="0"/>
          <c:showBubbleSize val="0"/>
        </c:dLbls>
        <c:gapWidth val="315"/>
        <c:overlap val="-40"/>
        <c:axId val="191209856"/>
        <c:axId val="191211392"/>
      </c:barChart>
      <c:catAx>
        <c:axId val="19120985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91211392"/>
        <c:crosses val="autoZero"/>
        <c:auto val="1"/>
        <c:lblAlgn val="ctr"/>
        <c:lblOffset val="100"/>
        <c:noMultiLvlLbl val="0"/>
      </c:catAx>
      <c:valAx>
        <c:axId val="191211392"/>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91209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legend>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dinamicas!7</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BUY vs SELL</a:t>
            </a:r>
          </a:p>
        </c:rich>
      </c:tx>
      <c:overlay val="0"/>
      <c:spPr>
        <a:noFill/>
        <a:ln>
          <a:noFill/>
        </a:ln>
        <a:effectLst/>
      </c:spPr>
    </c:title>
    <c:autoTitleDeleted val="0"/>
    <c:pivotFmts>
      <c:pivotFmt>
        <c:idx val="0"/>
        <c:dLbl>
          <c:idx val="0"/>
          <c:delete val="1"/>
          <c:extLst xmlns:c16r2="http://schemas.microsoft.com/office/drawing/2015/06/chart">
            <c:ext xmlns:c15="http://schemas.microsoft.com/office/drawing/2012/chart" uri="{CE6537A1-D6FC-4f65-9D91-7224C49458BB}"/>
          </c:extLst>
        </c:dLbl>
      </c:pivotFmt>
      <c:pivotFmt>
        <c:idx val="1"/>
        <c:dLbl>
          <c:idx val="0"/>
          <c:delete val="1"/>
          <c:extLst xmlns:c16r2="http://schemas.microsoft.com/office/drawing/2015/06/chart">
            <c:ext xmlns:c15="http://schemas.microsoft.com/office/drawing/2012/chart" uri="{CE6537A1-D6FC-4f65-9D91-7224C49458BB}"/>
          </c:extLst>
        </c:dLbl>
      </c:pivotFmt>
      <c:pivotFmt>
        <c:idx val="2"/>
        <c:dLbl>
          <c:idx val="0"/>
          <c:delete val="1"/>
          <c:extLst xmlns:c16r2="http://schemas.microsoft.com/office/drawing/2015/06/chart">
            <c:ext xmlns:c15="http://schemas.microsoft.com/office/drawing/2012/chart" uri="{CE6537A1-D6FC-4f65-9D91-7224C49458BB}"/>
          </c:extLst>
        </c:dLbl>
      </c:pivotFmt>
      <c:pivotFmt>
        <c:idx val="3"/>
        <c:dLbl>
          <c:idx val="0"/>
          <c:delete val="1"/>
          <c:extLst xmlns:c16r2="http://schemas.microsoft.com/office/drawing/2015/06/chart">
            <c:ext xmlns:c15="http://schemas.microsoft.com/office/drawing/2012/chart" uri="{CE6537A1-D6FC-4f65-9D91-7224C49458BB}"/>
          </c:extLst>
        </c:dLbl>
      </c:pivotFmt>
      <c:pivotFmt>
        <c:idx val="4"/>
        <c:dLbl>
          <c:idx val="0"/>
          <c:delete val="1"/>
          <c:extLst xmlns:c16r2="http://schemas.microsoft.com/office/drawing/2015/06/chart">
            <c:ext xmlns:c15="http://schemas.microsoft.com/office/drawing/2012/chart" uri="{CE6537A1-D6FC-4f65-9D91-7224C49458BB}"/>
          </c:extLst>
        </c:dLbl>
      </c:pivotFmt>
      <c:pivotFmt>
        <c:idx val="5"/>
        <c:dLbl>
          <c:idx val="0"/>
          <c:delete val="1"/>
          <c:extLst xmlns:c16r2="http://schemas.microsoft.com/office/drawing/2015/06/chart">
            <c:ext xmlns:c15="http://schemas.microsoft.com/office/drawing/2012/chart" uri="{CE6537A1-D6FC-4f65-9D91-7224C49458BB}"/>
          </c:extLst>
        </c:dLbl>
      </c:pivotFmt>
      <c:pivotFmt>
        <c:idx val="6"/>
        <c:dLbl>
          <c:idx val="0"/>
          <c:delete val="1"/>
          <c:extLst xmlns:c16r2="http://schemas.microsoft.com/office/drawing/2015/06/chart">
            <c:ext xmlns:c15="http://schemas.microsoft.com/office/drawing/2012/chart" uri="{CE6537A1-D6FC-4f65-9D91-7224C49458BB}"/>
          </c:extLst>
        </c:dLbl>
      </c:pivotFmt>
      <c:pivotFmt>
        <c:idx val="7"/>
        <c:dLbl>
          <c:idx val="0"/>
          <c:delete val="1"/>
          <c:extLst xmlns:c16r2="http://schemas.microsoft.com/office/drawing/2015/06/chart">
            <c:ext xmlns:c15="http://schemas.microsoft.com/office/drawing/2012/chart" uri="{CE6537A1-D6FC-4f65-9D91-7224C49458BB}"/>
          </c:extLst>
        </c:dLbl>
      </c:pivotFmt>
      <c:pivotFmt>
        <c:idx val="8"/>
        <c:dLbl>
          <c:idx val="0"/>
          <c:delete val="1"/>
          <c:extLst xmlns:c16r2="http://schemas.microsoft.com/office/drawing/2015/06/chart">
            <c:ext xmlns:c15="http://schemas.microsoft.com/office/drawing/2012/chart" uri="{CE6537A1-D6FC-4f65-9D91-7224C49458BB}"/>
          </c:extLst>
        </c:dLbl>
      </c:pivotFmt>
      <c:pivotFmt>
        <c:idx val="9"/>
        <c:spPr>
          <a:solidFill>
            <a:srgbClr val="FF0000"/>
          </a:soli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dLbl>
          <c:idx val="0"/>
          <c:showLegendKey val="0"/>
          <c:showVal val="1"/>
          <c:showCatName val="0"/>
          <c:showSerName val="1"/>
          <c:showPercent val="0"/>
          <c:showBubbleSize val="0"/>
          <c:extLst xmlns:c16r2="http://schemas.microsoft.com/office/drawing/2015/06/chart">
            <c:ext xmlns:c15="http://schemas.microsoft.com/office/drawing/2012/chart" uri="{CE6537A1-D6FC-4f65-9D91-7224C49458BB}"/>
          </c:extLst>
        </c:dLbl>
      </c:pivotFmt>
      <c:pivotFmt>
        <c:idx val="11"/>
        <c:spPr>
          <a:solidFill>
            <a:srgbClr val="00FF00"/>
          </a:soli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dLbl>
          <c:idx val="0"/>
          <c:showLegendKey val="0"/>
          <c:showVal val="1"/>
          <c:showCatName val="0"/>
          <c:showSerName val="1"/>
          <c:showPercent val="0"/>
          <c:showBubbleSize val="0"/>
          <c:extLst xmlns:c16r2="http://schemas.microsoft.com/office/drawing/2015/06/chart">
            <c:ext xmlns:c15="http://schemas.microsoft.com/office/drawing/2012/chart" uri="{CE6537A1-D6FC-4f65-9D91-7224C49458BB}"/>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dLbl>
          <c:idx val="0"/>
          <c:showLegendKey val="0"/>
          <c:showVal val="1"/>
          <c:showCatName val="0"/>
          <c:showSerName val="1"/>
          <c:showPercent val="0"/>
          <c:showBubbleSize val="0"/>
          <c:extLst xmlns:c16r2="http://schemas.microsoft.com/office/drawing/2015/06/chart">
            <c:ext xmlns:c15="http://schemas.microsoft.com/office/drawing/2012/chart" uri="{CE6537A1-D6FC-4f65-9D91-7224C49458BB}"/>
          </c:extLst>
        </c:dLbl>
      </c:pivotFmt>
      <c:pivotFmt>
        <c:idx val="15"/>
        <c:dLbl>
          <c:idx val="0"/>
          <c:layout>
            <c:manualLayout>
              <c:x val="-6.9926617429273641E-2"/>
              <c:y val="4.6969818008598067E-3"/>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dLbl>
          <c:idx val="0"/>
          <c:layout>
            <c:manualLayout>
              <c:x val="-8.7408271786592037E-2"/>
              <c:y val="-1.076379228272343E-17"/>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dLbl>
          <c:idx val="0"/>
          <c:layout>
            <c:manualLayout>
              <c:x val="-7.9250166419843449E-2"/>
              <c:y val="4.6969818008598067E-3"/>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dLbl>
          <c:idx val="0"/>
          <c:layout>
            <c:manualLayout>
              <c:x val="-9.5566377153340626E-2"/>
              <c:y val="1.409168508475278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FF00"/>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rAngAx val="1"/>
    </c:view3D>
    <c:floor>
      <c:thickness val="0"/>
      <c:spPr>
        <a:noFill/>
        <a:ln w="25400">
          <a:noFill/>
        </a:ln>
        <a:effectLst/>
        <a:sp3d/>
      </c:spPr>
    </c:floor>
    <c:sideWall>
      <c:thickness val="0"/>
      <c:spPr>
        <a:noFill/>
        <a:ln>
          <a:noFill/>
        </a:ln>
        <a:effectLst>
          <a:innerShdw blurRad="63500" dist="50800" dir="16200000">
            <a:prstClr val="black">
              <a:alpha val="50000"/>
            </a:prstClr>
          </a:innerShdw>
        </a:effectLst>
        <a:sp3d/>
      </c:spPr>
    </c:sideWall>
    <c:backWall>
      <c:thickness val="0"/>
      <c:spPr>
        <a:noFill/>
        <a:ln>
          <a:noFill/>
        </a:ln>
        <a:effectLst>
          <a:innerShdw blurRad="63500" dist="50800" dir="16200000">
            <a:prstClr val="black">
              <a:alpha val="50000"/>
            </a:prstClr>
          </a:innerShdw>
        </a:effectLst>
        <a:sp3d/>
      </c:spPr>
    </c:backWall>
    <c:plotArea>
      <c:layout/>
      <c:bar3DChart>
        <c:barDir val="bar"/>
        <c:grouping val="stacked"/>
        <c:varyColors val="0"/>
        <c:ser>
          <c:idx val="0"/>
          <c:order val="0"/>
          <c:tx>
            <c:strRef>
              <c:f>'Tablas dinamicas'!$Q$168</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FF00"/>
                    </a:solidFill>
                    <a:latin typeface="+mn-lt"/>
                    <a:ea typeface="+mn-ea"/>
                    <a:cs typeface="+mn-cs"/>
                  </a:defRPr>
                </a:pPr>
                <a:endParaRPr lang="es-AR"/>
              </a:p>
            </c:txPr>
            <c:showLegendKey val="0"/>
            <c:showVal val="1"/>
            <c:showCatName val="0"/>
            <c:showSerName val="0"/>
            <c:showPercent val="0"/>
            <c:showBubbleSize val="0"/>
            <c:showLeaderLines val="0"/>
          </c:dLbls>
          <c:cat>
            <c:strRef>
              <c:f>'Tablas dinamicas'!$P$169:$P$171</c:f>
              <c:strCache>
                <c:ptCount val="2"/>
                <c:pt idx="0">
                  <c:v>BUY</c:v>
                </c:pt>
                <c:pt idx="1">
                  <c:v>SELL</c:v>
                </c:pt>
              </c:strCache>
            </c:strRef>
          </c:cat>
          <c:val>
            <c:numRef>
              <c:f>'Tablas dinamicas'!$Q$169:$Q$171</c:f>
              <c:numCache>
                <c:formatCode>General</c:formatCode>
                <c:ptCount val="2"/>
                <c:pt idx="0">
                  <c:v>20.700000000000234</c:v>
                </c:pt>
                <c:pt idx="1">
                  <c:v>35.500000000001357</c:v>
                </c:pt>
              </c:numCache>
            </c:numRef>
          </c:val>
          <c:extLst xmlns:c16r2="http://schemas.microsoft.com/office/drawing/2015/06/chart">
            <c:ext xmlns:c16="http://schemas.microsoft.com/office/drawing/2014/chart" uri="{C3380CC4-5D6E-409C-BE32-E72D297353CC}">
              <c16:uniqueId val="{00000000-6BBA-459F-8BF2-06C3EF66FBBA}"/>
            </c:ext>
          </c:extLst>
        </c:ser>
        <c:dLbls>
          <c:showLegendKey val="0"/>
          <c:showVal val="1"/>
          <c:showCatName val="0"/>
          <c:showSerName val="0"/>
          <c:showPercent val="0"/>
          <c:showBubbleSize val="0"/>
        </c:dLbls>
        <c:gapWidth val="55"/>
        <c:shape val="box"/>
        <c:axId val="191300352"/>
        <c:axId val="191303040"/>
        <c:axId val="0"/>
      </c:bar3DChart>
      <c:catAx>
        <c:axId val="191300352"/>
        <c:scaling>
          <c:orientation val="minMax"/>
        </c:scaling>
        <c:delete val="0"/>
        <c:axPos val="l"/>
        <c:numFmt formatCode="General" sourceLinked="1"/>
        <c:majorTickMark val="none"/>
        <c:minorTickMark val="none"/>
        <c:tickLblPos val="high"/>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600" b="0" i="0" u="none" strike="noStrike" kern="1200" baseline="0">
                <a:solidFill>
                  <a:srgbClr val="FFFF00"/>
                </a:solidFill>
                <a:latin typeface="+mn-lt"/>
                <a:ea typeface="+mn-ea"/>
                <a:cs typeface="+mn-cs"/>
              </a:defRPr>
            </a:pPr>
            <a:endParaRPr lang="es-AR"/>
          </a:p>
        </c:txPr>
        <c:crossAx val="191303040"/>
        <c:crosses val="autoZero"/>
        <c:auto val="1"/>
        <c:lblAlgn val="ctr"/>
        <c:lblOffset val="100"/>
        <c:noMultiLvlLbl val="0"/>
      </c:catAx>
      <c:valAx>
        <c:axId val="19130304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91300352"/>
        <c:crossesAt val="1"/>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dinamicas!TablaDinámica1</c:name>
    <c:fmtId val="0"/>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Estrategias</a:t>
            </a:r>
            <a:r>
              <a:rPr lang="en-US" baseline="0"/>
              <a:t> positivas</a:t>
            </a:r>
            <a:endParaRPr lang="en-US"/>
          </a:p>
        </c:rich>
      </c:tx>
      <c:overlay val="0"/>
      <c:spPr>
        <a:noFill/>
        <a:ln>
          <a:noFill/>
        </a:ln>
        <a:effectLst/>
      </c:sp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rgbClr val="FFFFFF">
                  <a:alpha val="50000"/>
                </a:srgb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2"/>
        <c:spPr>
          <a:solidFill>
            <a:schemeClr val="accent3">
              <a:lumMod val="40000"/>
              <a:lumOff val="6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3"/>
        <c:spPr>
          <a:solidFill>
            <a:schemeClr val="accent6">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5A5A5">
                <a:alpha val="30000"/>
              </a:srgbClr>
            </a:solidFill>
            <a:ln>
              <a:solidFill>
                <a:srgbClr val="FFFFFF">
                  <a:alpha val="50000"/>
                </a:srgb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 dinamicas'!$I$130</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extLst xmlns:c16r2="http://schemas.microsoft.com/office/drawing/2015/06/chart">
              <c:ext xmlns:c16="http://schemas.microsoft.com/office/drawing/2014/chart" uri="{C3380CC4-5D6E-409C-BE32-E72D297353CC}">
                <c16:uniqueId val="{00000001-76DC-4DA2-8A0C-29E5DC2A02F6}"/>
              </c:ext>
            </c:extLst>
          </c:dPt>
          <c:dLbls>
            <c:spPr>
              <a:solidFill>
                <a:srgbClr val="A5A5A5">
                  <a:alpha val="30000"/>
                </a:srgbClr>
              </a:solidFill>
              <a:ln>
                <a:solidFill>
                  <a:srgbClr val="FFFFFF">
                    <a:alpha val="50000"/>
                  </a:srgb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showLegendKey val="0"/>
            <c:showVal val="1"/>
            <c:showCatName val="0"/>
            <c:showSerName val="0"/>
            <c:showPercent val="0"/>
            <c:showBubbleSize val="0"/>
            <c:showLeaderLines val="0"/>
          </c:dLbls>
          <c:cat>
            <c:strRef>
              <c:f>'Tablas dinamicas'!$H$131</c:f>
              <c:strCache>
                <c:ptCount val="1"/>
                <c:pt idx="0">
                  <c:v>Total general</c:v>
                </c:pt>
              </c:strCache>
            </c:strRef>
          </c:cat>
          <c:val>
            <c:numRef>
              <c:f>'Tablas dinamicas'!$I$131</c:f>
              <c:numCache>
                <c:formatCode>General</c:formatCode>
                <c:ptCount val="1"/>
              </c:numCache>
            </c:numRef>
          </c:val>
          <c:extLst xmlns:c16r2="http://schemas.microsoft.com/office/drawing/2015/06/chart">
            <c:ext xmlns:c16="http://schemas.microsoft.com/office/drawing/2014/chart" uri="{C3380CC4-5D6E-409C-BE32-E72D297353CC}">
              <c16:uniqueId val="{00000000-B7BF-489B-A651-8AC54F501E81}"/>
            </c:ext>
          </c:extLst>
        </c:ser>
        <c:dLbls>
          <c:showLegendKey val="0"/>
          <c:showVal val="1"/>
          <c:showCatName val="0"/>
          <c:showSerName val="0"/>
          <c:showPercent val="0"/>
          <c:showBubbleSize val="0"/>
        </c:dLbls>
        <c:gapWidth val="84"/>
        <c:gapDepth val="53"/>
        <c:shape val="box"/>
        <c:axId val="191358464"/>
        <c:axId val="191361408"/>
        <c:axId val="0"/>
      </c:bar3DChart>
      <c:catAx>
        <c:axId val="1913584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91361408"/>
        <c:crosses val="autoZero"/>
        <c:auto val="1"/>
        <c:lblAlgn val="ctr"/>
        <c:lblOffset val="100"/>
        <c:noMultiLvlLbl val="0"/>
      </c:catAx>
      <c:valAx>
        <c:axId val="191361408"/>
        <c:scaling>
          <c:orientation val="minMax"/>
        </c:scaling>
        <c:delete val="1"/>
        <c:axPos val="l"/>
        <c:numFmt formatCode="General" sourceLinked="1"/>
        <c:majorTickMark val="out"/>
        <c:minorTickMark val="none"/>
        <c:tickLblPos val="nextTo"/>
        <c:crossAx val="19135846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dinamicas!1</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Resultado por día</a:t>
            </a:r>
          </a:p>
        </c:rich>
      </c:tx>
      <c:overlay val="0"/>
      <c:spPr>
        <a:noFill/>
        <a:ln>
          <a:noFill/>
        </a:ln>
        <a:effectLst/>
      </c:sp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dLbl>
          <c:idx val="0"/>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pivotFmt>
      <c:pivotFmt>
        <c:idx val="10"/>
        <c:spPr>
          <a:solidFill>
            <a:schemeClr val="accent2"/>
          </a:solidFill>
          <a:ln>
            <a:no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'Tablas dinamicas'!$I$3</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showLeaderLines val="0"/>
          </c:dLbls>
          <c:cat>
            <c:strRef>
              <c:f>'Tablas dinamicas'!$H$4:$H$36</c:f>
              <c:strCache>
                <c:ptCount val="32"/>
                <c:pt idx="0">
                  <c:v>20-Nov</c:v>
                </c:pt>
                <c:pt idx="1">
                  <c:v>21-Nov</c:v>
                </c:pt>
                <c:pt idx="2">
                  <c:v>22-Nov</c:v>
                </c:pt>
                <c:pt idx="3">
                  <c:v>23-Nov</c:v>
                </c:pt>
                <c:pt idx="4">
                  <c:v>24-Nov</c:v>
                </c:pt>
                <c:pt idx="5">
                  <c:v>25-Nov</c:v>
                </c:pt>
                <c:pt idx="6">
                  <c:v>26-Nov</c:v>
                </c:pt>
                <c:pt idx="7">
                  <c:v>27-Nov</c:v>
                </c:pt>
                <c:pt idx="8">
                  <c:v>28-Nov</c:v>
                </c:pt>
                <c:pt idx="9">
                  <c:v>29-Nov</c:v>
                </c:pt>
                <c:pt idx="10">
                  <c:v>30-Nov</c:v>
                </c:pt>
                <c:pt idx="11">
                  <c:v>1-Dec</c:v>
                </c:pt>
                <c:pt idx="12">
                  <c:v>2-Dec</c:v>
                </c:pt>
                <c:pt idx="13">
                  <c:v>3-Dec</c:v>
                </c:pt>
                <c:pt idx="14">
                  <c:v>4-Dec</c:v>
                </c:pt>
                <c:pt idx="15">
                  <c:v>5-Dec</c:v>
                </c:pt>
                <c:pt idx="16">
                  <c:v>6-Dec</c:v>
                </c:pt>
                <c:pt idx="17">
                  <c:v>7-Dec</c:v>
                </c:pt>
                <c:pt idx="18">
                  <c:v>8-Dec</c:v>
                </c:pt>
                <c:pt idx="19">
                  <c:v>9-Dec</c:v>
                </c:pt>
                <c:pt idx="20">
                  <c:v>10-Dec</c:v>
                </c:pt>
                <c:pt idx="21">
                  <c:v>11-Dec</c:v>
                </c:pt>
                <c:pt idx="22">
                  <c:v>12-Dec</c:v>
                </c:pt>
                <c:pt idx="23">
                  <c:v>13-Dec</c:v>
                </c:pt>
                <c:pt idx="24">
                  <c:v>14-Dec</c:v>
                </c:pt>
                <c:pt idx="25">
                  <c:v>15-Dec</c:v>
                </c:pt>
                <c:pt idx="26">
                  <c:v>16-Dec</c:v>
                </c:pt>
                <c:pt idx="27">
                  <c:v>17-Dec</c:v>
                </c:pt>
                <c:pt idx="28">
                  <c:v>18-Dec</c:v>
                </c:pt>
                <c:pt idx="29">
                  <c:v>19-Dec</c:v>
                </c:pt>
                <c:pt idx="30">
                  <c:v>20-Dec</c:v>
                </c:pt>
                <c:pt idx="31">
                  <c:v>21-Dec</c:v>
                </c:pt>
              </c:strCache>
            </c:strRef>
          </c:cat>
          <c:val>
            <c:numRef>
              <c:f>'Tablas dinamicas'!$I$4:$I$36</c:f>
              <c:numCache>
                <c:formatCode>General</c:formatCode>
                <c:ptCount val="32"/>
                <c:pt idx="0">
                  <c:v>12.699999999999317</c:v>
                </c:pt>
                <c:pt idx="1">
                  <c:v>0</c:v>
                </c:pt>
                <c:pt idx="2">
                  <c:v>0</c:v>
                </c:pt>
                <c:pt idx="3">
                  <c:v>29.2</c:v>
                </c:pt>
                <c:pt idx="4">
                  <c:v>43.4</c:v>
                </c:pt>
                <c:pt idx="5">
                  <c:v>7.7000000000002276</c:v>
                </c:pt>
                <c:pt idx="6">
                  <c:v>0</c:v>
                </c:pt>
                <c:pt idx="7">
                  <c:v>8.6999999999993172</c:v>
                </c:pt>
                <c:pt idx="8">
                  <c:v>0</c:v>
                </c:pt>
                <c:pt idx="9">
                  <c:v>0</c:v>
                </c:pt>
                <c:pt idx="10">
                  <c:v>-41.6</c:v>
                </c:pt>
                <c:pt idx="11">
                  <c:v>18.300000000000907</c:v>
                </c:pt>
                <c:pt idx="12">
                  <c:v>-0.29999999999931792</c:v>
                </c:pt>
                <c:pt idx="13">
                  <c:v>-47.199999999999775</c:v>
                </c:pt>
                <c:pt idx="14">
                  <c:v>-0.30000000000045479</c:v>
                </c:pt>
                <c:pt idx="15">
                  <c:v>0</c:v>
                </c:pt>
                <c:pt idx="16">
                  <c:v>0</c:v>
                </c:pt>
                <c:pt idx="17">
                  <c:v>0</c:v>
                </c:pt>
                <c:pt idx="18">
                  <c:v>0</c:v>
                </c:pt>
                <c:pt idx="19">
                  <c:v>14.000000000001819</c:v>
                </c:pt>
                <c:pt idx="20">
                  <c:v>26.100000000000229</c:v>
                </c:pt>
                <c:pt idx="21">
                  <c:v>-14.500000000000684</c:v>
                </c:pt>
                <c:pt idx="22">
                  <c:v>0</c:v>
                </c:pt>
                <c:pt idx="23">
                  <c:v>0</c:v>
                </c:pt>
                <c:pt idx="24">
                  <c:v>0</c:v>
                </c:pt>
                <c:pt idx="25">
                  <c:v>0</c:v>
                </c:pt>
                <c:pt idx="26">
                  <c:v>0</c:v>
                </c:pt>
                <c:pt idx="27">
                  <c:v>0</c:v>
                </c:pt>
                <c:pt idx="28">
                  <c:v>0</c:v>
                </c:pt>
                <c:pt idx="31">
                  <c:v>0</c:v>
                </c:pt>
              </c:numCache>
            </c:numRef>
          </c:val>
          <c:extLst xmlns:c16r2="http://schemas.microsoft.com/office/drawing/2015/06/chart">
            <c:ext xmlns:c16="http://schemas.microsoft.com/office/drawing/2014/chart" uri="{C3380CC4-5D6E-409C-BE32-E72D297353CC}">
              <c16:uniqueId val="{00000000-C382-495F-8D29-22F4520D6A30}"/>
            </c:ext>
          </c:extLst>
        </c:ser>
        <c:dLbls>
          <c:showLegendKey val="0"/>
          <c:showVal val="1"/>
          <c:showCatName val="0"/>
          <c:showSerName val="0"/>
          <c:showPercent val="0"/>
          <c:showBubbleSize val="0"/>
        </c:dLbls>
        <c:gapWidth val="150"/>
        <c:overlap val="-25"/>
        <c:axId val="190291328"/>
        <c:axId val="190306560"/>
      </c:barChart>
      <c:catAx>
        <c:axId val="19029132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90306560"/>
        <c:crosses val="autoZero"/>
        <c:auto val="1"/>
        <c:lblAlgn val="ctr"/>
        <c:lblOffset val="100"/>
        <c:noMultiLvlLbl val="0"/>
      </c:catAx>
      <c:valAx>
        <c:axId val="190306560"/>
        <c:scaling>
          <c:orientation val="minMax"/>
        </c:scaling>
        <c:delete val="1"/>
        <c:axPos val="l"/>
        <c:numFmt formatCode="General" sourceLinked="1"/>
        <c:majorTickMark val="none"/>
        <c:minorTickMark val="none"/>
        <c:tickLblPos val="nextTo"/>
        <c:crossAx val="1902913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dinamicas!2</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AB</a:t>
            </a:r>
            <a:r>
              <a:rPr lang="en-US" baseline="0"/>
              <a:t> Vs PF</a:t>
            </a:r>
            <a:endParaRPr lang="en-US"/>
          </a:p>
        </c:rich>
      </c:tx>
      <c:overlay val="0"/>
      <c:spPr>
        <a:noFill/>
        <a:ln>
          <a:noFill/>
        </a:ln>
        <a:effectLst/>
      </c:sp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dLblPos val="inBase"/>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dLblPos val="inBase"/>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mn-lt"/>
                  <a:ea typeface="+mn-ea"/>
                  <a:cs typeface="+mn-cs"/>
                </a:defRPr>
              </a:pPr>
              <a:endParaRPr lang="es-AR"/>
            </a:p>
          </c:txPr>
          <c:dLblPos val="inBase"/>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1"/>
          <c:order val="1"/>
          <c:tx>
            <c:strRef>
              <c:f>'Tablas dinamicas'!$J$49</c:f>
              <c:strCache>
                <c:ptCount val="1"/>
                <c:pt idx="0">
                  <c:v>Suma de AB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mn-lt"/>
                    <a:ea typeface="+mn-ea"/>
                    <a:cs typeface="+mn-cs"/>
                  </a:defRPr>
                </a:pPr>
                <a:endParaRPr lang="es-AR"/>
              </a:p>
            </c:txPr>
            <c:dLblPos val="inBase"/>
            <c:showLegendKey val="0"/>
            <c:showVal val="1"/>
            <c:showCatName val="0"/>
            <c:showSerName val="0"/>
            <c:showPercent val="0"/>
            <c:showBubbleSize val="0"/>
            <c:showLeaderLines val="0"/>
          </c:dLbls>
          <c:cat>
            <c:strRef>
              <c:f>'Tablas dinamicas'!$H$50:$H$79</c:f>
              <c:strCache>
                <c:ptCount val="32"/>
                <c:pt idx="0">
                  <c:v>20-Nov</c:v>
                </c:pt>
                <c:pt idx="1">
                  <c:v>21-Nov</c:v>
                </c:pt>
                <c:pt idx="2">
                  <c:v>22-Nov</c:v>
                </c:pt>
                <c:pt idx="3">
                  <c:v>23-Nov</c:v>
                </c:pt>
                <c:pt idx="4">
                  <c:v>24-Nov</c:v>
                </c:pt>
                <c:pt idx="5">
                  <c:v>25-Nov</c:v>
                </c:pt>
                <c:pt idx="6">
                  <c:v>26-Nov</c:v>
                </c:pt>
                <c:pt idx="7">
                  <c:v>27-Nov</c:v>
                </c:pt>
                <c:pt idx="8">
                  <c:v>28-Nov</c:v>
                </c:pt>
                <c:pt idx="9">
                  <c:v>29-Nov</c:v>
                </c:pt>
                <c:pt idx="10">
                  <c:v>30-Nov</c:v>
                </c:pt>
                <c:pt idx="11">
                  <c:v>1-Dec</c:v>
                </c:pt>
                <c:pt idx="12">
                  <c:v>2-Dec</c:v>
                </c:pt>
                <c:pt idx="13">
                  <c:v>3-Dec</c:v>
                </c:pt>
                <c:pt idx="14">
                  <c:v>4-Dec</c:v>
                </c:pt>
                <c:pt idx="15">
                  <c:v>5-Dec</c:v>
                </c:pt>
                <c:pt idx="16">
                  <c:v>6-Dec</c:v>
                </c:pt>
                <c:pt idx="17">
                  <c:v>7-Dec</c:v>
                </c:pt>
                <c:pt idx="18">
                  <c:v>8-Dec</c:v>
                </c:pt>
                <c:pt idx="19">
                  <c:v>9-Dec</c:v>
                </c:pt>
                <c:pt idx="20">
                  <c:v>10-Dec</c:v>
                </c:pt>
                <c:pt idx="21">
                  <c:v>11-Dec</c:v>
                </c:pt>
                <c:pt idx="22">
                  <c:v>12-Dec</c:v>
                </c:pt>
                <c:pt idx="23">
                  <c:v>13-Dec</c:v>
                </c:pt>
                <c:pt idx="24">
                  <c:v>14-Dec</c:v>
                </c:pt>
                <c:pt idx="25">
                  <c:v>15-Dec</c:v>
                </c:pt>
                <c:pt idx="26">
                  <c:v>16-Dec</c:v>
                </c:pt>
                <c:pt idx="27">
                  <c:v>17-Dec</c:v>
                </c:pt>
                <c:pt idx="28">
                  <c:v>18-Dec</c:v>
                </c:pt>
                <c:pt idx="29">
                  <c:v>19-Dec</c:v>
                </c:pt>
                <c:pt idx="30">
                  <c:v>20-Dec</c:v>
                </c:pt>
                <c:pt idx="31">
                  <c:v>21-Dec</c:v>
                </c:pt>
              </c:strCache>
            </c:strRef>
          </c:cat>
          <c:val>
            <c:numRef>
              <c:f>'Tablas dinamicas'!$J$50:$J$79</c:f>
              <c:numCache>
                <c:formatCode>General</c:formatCode>
                <c:ptCount val="32"/>
                <c:pt idx="0">
                  <c:v>0.5</c:v>
                </c:pt>
                <c:pt idx="1">
                  <c:v>0</c:v>
                </c:pt>
                <c:pt idx="2">
                  <c:v>0</c:v>
                </c:pt>
                <c:pt idx="3">
                  <c:v>1</c:v>
                </c:pt>
                <c:pt idx="4">
                  <c:v>1</c:v>
                </c:pt>
                <c:pt idx="5">
                  <c:v>1</c:v>
                </c:pt>
                <c:pt idx="6">
                  <c:v>0</c:v>
                </c:pt>
                <c:pt idx="7">
                  <c:v>1</c:v>
                </c:pt>
                <c:pt idx="8">
                  <c:v>0</c:v>
                </c:pt>
                <c:pt idx="9">
                  <c:v>0</c:v>
                </c:pt>
                <c:pt idx="10">
                  <c:v>0</c:v>
                </c:pt>
                <c:pt idx="11">
                  <c:v>0.75</c:v>
                </c:pt>
                <c:pt idx="12">
                  <c:v>1</c:v>
                </c:pt>
                <c:pt idx="13">
                  <c:v>0.25</c:v>
                </c:pt>
                <c:pt idx="14">
                  <c:v>1</c:v>
                </c:pt>
                <c:pt idx="15">
                  <c:v>0</c:v>
                </c:pt>
                <c:pt idx="16">
                  <c:v>0</c:v>
                </c:pt>
                <c:pt idx="17">
                  <c:v>0</c:v>
                </c:pt>
                <c:pt idx="18">
                  <c:v>0</c:v>
                </c:pt>
                <c:pt idx="19">
                  <c:v>0.4</c:v>
                </c:pt>
                <c:pt idx="20">
                  <c:v>0.66666666666666663</c:v>
                </c:pt>
                <c:pt idx="21">
                  <c:v>0.6</c:v>
                </c:pt>
                <c:pt idx="22">
                  <c:v>0</c:v>
                </c:pt>
                <c:pt idx="23">
                  <c:v>0</c:v>
                </c:pt>
                <c:pt idx="24">
                  <c:v>0</c:v>
                </c:pt>
                <c:pt idx="25">
                  <c:v>0</c:v>
                </c:pt>
                <c:pt idx="26">
                  <c:v>0</c:v>
                </c:pt>
                <c:pt idx="27">
                  <c:v>0</c:v>
                </c:pt>
                <c:pt idx="28">
                  <c:v>0</c:v>
                </c:pt>
                <c:pt idx="29">
                  <c:v>0</c:v>
                </c:pt>
              </c:numCache>
            </c:numRef>
          </c:val>
          <c:extLst xmlns:c16r2="http://schemas.microsoft.com/office/drawing/2015/06/chart">
            <c:ext xmlns:c16="http://schemas.microsoft.com/office/drawing/2014/chart" uri="{C3380CC4-5D6E-409C-BE32-E72D297353CC}">
              <c16:uniqueId val="{00000000-E037-46F9-A5F2-6E949C7D8F03}"/>
            </c:ext>
          </c:extLst>
        </c:ser>
        <c:dLbls>
          <c:showLegendKey val="0"/>
          <c:showVal val="0"/>
          <c:showCatName val="0"/>
          <c:showSerName val="0"/>
          <c:showPercent val="0"/>
          <c:showBubbleSize val="0"/>
        </c:dLbls>
        <c:gapWidth val="75"/>
        <c:overlap val="40"/>
        <c:axId val="136483200"/>
        <c:axId val="136484736"/>
      </c:barChart>
      <c:barChart>
        <c:barDir val="col"/>
        <c:grouping val="clustered"/>
        <c:varyColors val="0"/>
        <c:ser>
          <c:idx val="0"/>
          <c:order val="0"/>
          <c:tx>
            <c:strRef>
              <c:f>'Tablas dinamicas'!$I$49</c:f>
              <c:strCache>
                <c:ptCount val="1"/>
                <c:pt idx="0">
                  <c:v>Suma de PF</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lt1">
                        <a:lumMod val="8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dinamicas'!$H$50:$H$79</c:f>
              <c:strCache>
                <c:ptCount val="32"/>
                <c:pt idx="0">
                  <c:v>20-Nov</c:v>
                </c:pt>
                <c:pt idx="1">
                  <c:v>21-Nov</c:v>
                </c:pt>
                <c:pt idx="2">
                  <c:v>22-Nov</c:v>
                </c:pt>
                <c:pt idx="3">
                  <c:v>23-Nov</c:v>
                </c:pt>
                <c:pt idx="4">
                  <c:v>24-Nov</c:v>
                </c:pt>
                <c:pt idx="5">
                  <c:v>25-Nov</c:v>
                </c:pt>
                <c:pt idx="6">
                  <c:v>26-Nov</c:v>
                </c:pt>
                <c:pt idx="7">
                  <c:v>27-Nov</c:v>
                </c:pt>
                <c:pt idx="8">
                  <c:v>28-Nov</c:v>
                </c:pt>
                <c:pt idx="9">
                  <c:v>29-Nov</c:v>
                </c:pt>
                <c:pt idx="10">
                  <c:v>30-Nov</c:v>
                </c:pt>
                <c:pt idx="11">
                  <c:v>1-Dec</c:v>
                </c:pt>
                <c:pt idx="12">
                  <c:v>2-Dec</c:v>
                </c:pt>
                <c:pt idx="13">
                  <c:v>3-Dec</c:v>
                </c:pt>
                <c:pt idx="14">
                  <c:v>4-Dec</c:v>
                </c:pt>
                <c:pt idx="15">
                  <c:v>5-Dec</c:v>
                </c:pt>
                <c:pt idx="16">
                  <c:v>6-Dec</c:v>
                </c:pt>
                <c:pt idx="17">
                  <c:v>7-Dec</c:v>
                </c:pt>
                <c:pt idx="18">
                  <c:v>8-Dec</c:v>
                </c:pt>
                <c:pt idx="19">
                  <c:v>9-Dec</c:v>
                </c:pt>
                <c:pt idx="20">
                  <c:v>10-Dec</c:v>
                </c:pt>
                <c:pt idx="21">
                  <c:v>11-Dec</c:v>
                </c:pt>
                <c:pt idx="22">
                  <c:v>12-Dec</c:v>
                </c:pt>
                <c:pt idx="23">
                  <c:v>13-Dec</c:v>
                </c:pt>
                <c:pt idx="24">
                  <c:v>14-Dec</c:v>
                </c:pt>
                <c:pt idx="25">
                  <c:v>15-Dec</c:v>
                </c:pt>
                <c:pt idx="26">
                  <c:v>16-Dec</c:v>
                </c:pt>
                <c:pt idx="27">
                  <c:v>17-Dec</c:v>
                </c:pt>
                <c:pt idx="28">
                  <c:v>18-Dec</c:v>
                </c:pt>
                <c:pt idx="29">
                  <c:v>19-Dec</c:v>
                </c:pt>
                <c:pt idx="30">
                  <c:v>20-Dec</c:v>
                </c:pt>
                <c:pt idx="31">
                  <c:v>21-Dec</c:v>
                </c:pt>
              </c:strCache>
            </c:strRef>
          </c:cat>
          <c:val>
            <c:numRef>
              <c:f>'Tablas dinamicas'!$I$50:$I$79</c:f>
              <c:numCache>
                <c:formatCode>General</c:formatCode>
                <c:ptCount val="32"/>
                <c:pt idx="0">
                  <c:v>2.8999999999998636</c:v>
                </c:pt>
                <c:pt idx="1">
                  <c:v>0</c:v>
                </c:pt>
                <c:pt idx="2">
                  <c:v>0</c:v>
                </c:pt>
                <c:pt idx="3">
                  <c:v>6</c:v>
                </c:pt>
                <c:pt idx="4">
                  <c:v>9</c:v>
                </c:pt>
                <c:pt idx="5">
                  <c:v>1.7000000000000455</c:v>
                </c:pt>
                <c:pt idx="6">
                  <c:v>0</c:v>
                </c:pt>
                <c:pt idx="7">
                  <c:v>1.8999999999998636</c:v>
                </c:pt>
                <c:pt idx="8">
                  <c:v>0</c:v>
                </c:pt>
                <c:pt idx="9">
                  <c:v>0</c:v>
                </c:pt>
                <c:pt idx="10">
                  <c:v>0</c:v>
                </c:pt>
                <c:pt idx="11">
                  <c:v>2.433333333333394</c:v>
                </c:pt>
                <c:pt idx="12">
                  <c:v>0.10000000000013642</c:v>
                </c:pt>
                <c:pt idx="13">
                  <c:v>2.2222222222227275E-2</c:v>
                </c:pt>
                <c:pt idx="14">
                  <c:v>9.9999999999909051E-2</c:v>
                </c:pt>
                <c:pt idx="15">
                  <c:v>0</c:v>
                </c:pt>
                <c:pt idx="16">
                  <c:v>0</c:v>
                </c:pt>
                <c:pt idx="17">
                  <c:v>0</c:v>
                </c:pt>
                <c:pt idx="18">
                  <c:v>0</c:v>
                </c:pt>
                <c:pt idx="19">
                  <c:v>1.5806451612903982</c:v>
                </c:pt>
                <c:pt idx="20">
                  <c:v>2.5405405405405337</c:v>
                </c:pt>
                <c:pt idx="21">
                  <c:v>0.66129032258062559</c:v>
                </c:pt>
                <c:pt idx="22">
                  <c:v>0</c:v>
                </c:pt>
                <c:pt idx="23">
                  <c:v>0</c:v>
                </c:pt>
                <c:pt idx="24">
                  <c:v>0</c:v>
                </c:pt>
                <c:pt idx="25">
                  <c:v>0</c:v>
                </c:pt>
                <c:pt idx="26">
                  <c:v>0</c:v>
                </c:pt>
                <c:pt idx="27">
                  <c:v>0</c:v>
                </c:pt>
                <c:pt idx="28">
                  <c:v>0</c:v>
                </c:pt>
                <c:pt idx="29">
                  <c:v>0</c:v>
                </c:pt>
                <c:pt idx="30">
                  <c:v>#N/A</c:v>
                </c:pt>
              </c:numCache>
            </c:numRef>
          </c:val>
          <c:extLst xmlns:c16r2="http://schemas.microsoft.com/office/drawing/2015/06/chart">
            <c:ext xmlns:c16="http://schemas.microsoft.com/office/drawing/2014/chart" uri="{C3380CC4-5D6E-409C-BE32-E72D297353CC}">
              <c16:uniqueId val="{00000001-E037-46F9-A5F2-6E949C7D8F03}"/>
            </c:ext>
          </c:extLst>
        </c:ser>
        <c:dLbls>
          <c:showLegendKey val="0"/>
          <c:showVal val="0"/>
          <c:showCatName val="0"/>
          <c:showSerName val="0"/>
          <c:showPercent val="0"/>
          <c:showBubbleSize val="0"/>
        </c:dLbls>
        <c:gapWidth val="75"/>
        <c:overlap val="40"/>
        <c:axId val="136496256"/>
        <c:axId val="136486272"/>
      </c:barChart>
      <c:catAx>
        <c:axId val="13648320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36484736"/>
        <c:crosses val="autoZero"/>
        <c:auto val="1"/>
        <c:lblAlgn val="ctr"/>
        <c:lblOffset val="100"/>
        <c:noMultiLvlLbl val="0"/>
      </c:catAx>
      <c:valAx>
        <c:axId val="136484736"/>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36483200"/>
        <c:crosses val="autoZero"/>
        <c:crossBetween val="between"/>
      </c:valAx>
      <c:valAx>
        <c:axId val="13648627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36496256"/>
        <c:crosses val="max"/>
        <c:crossBetween val="between"/>
      </c:valAx>
      <c:catAx>
        <c:axId val="136496256"/>
        <c:scaling>
          <c:orientation val="minMax"/>
        </c:scaling>
        <c:delete val="1"/>
        <c:axPos val="b"/>
        <c:numFmt formatCode="General" sourceLinked="1"/>
        <c:majorTickMark val="out"/>
        <c:minorTickMark val="none"/>
        <c:tickLblPos val="nextTo"/>
        <c:crossAx val="13648627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dinamicas!3</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Positivo Vs Negativo</a:t>
            </a:r>
          </a:p>
        </c:rich>
      </c:tx>
      <c:overlay val="0"/>
      <c:spPr>
        <a:noFill/>
        <a:ln>
          <a:noFill/>
        </a:ln>
        <a:effectLst/>
      </c:spPr>
    </c:title>
    <c:autoTitleDeleted val="0"/>
    <c:pivotFmts>
      <c:pivotFmt>
        <c:idx val="0"/>
        <c:dLbl>
          <c:idx val="0"/>
          <c:delete val="1"/>
          <c:extLst xmlns:c16r2="http://schemas.microsoft.com/office/drawing/2015/06/char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'Tablas dinamicas'!$I$82</c:f>
              <c:strCache>
                <c:ptCount val="1"/>
                <c:pt idx="0">
                  <c:v>Suma de Total Positivo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showLeaderLines val="0"/>
          </c:dLbls>
          <c:cat>
            <c:strRef>
              <c:f>'Tablas dinamicas'!$H$83:$H$115</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dinamicas'!$I$83:$I$115</c:f>
              <c:numCache>
                <c:formatCode>General</c:formatCode>
                <c:ptCount val="32"/>
                <c:pt idx="0">
                  <c:v>2.8999999999998636</c:v>
                </c:pt>
                <c:pt idx="1">
                  <c:v>0</c:v>
                </c:pt>
                <c:pt idx="2">
                  <c:v>0</c:v>
                </c:pt>
                <c:pt idx="3">
                  <c:v>6</c:v>
                </c:pt>
                <c:pt idx="4">
                  <c:v>9</c:v>
                </c:pt>
                <c:pt idx="5">
                  <c:v>1.7000000000000455</c:v>
                </c:pt>
                <c:pt idx="6">
                  <c:v>0</c:v>
                </c:pt>
                <c:pt idx="7">
                  <c:v>1.8999999999998636</c:v>
                </c:pt>
                <c:pt idx="8">
                  <c:v>0</c:v>
                </c:pt>
                <c:pt idx="9">
                  <c:v>0</c:v>
                </c:pt>
                <c:pt idx="10">
                  <c:v>0</c:v>
                </c:pt>
                <c:pt idx="11">
                  <c:v>7.3000000000001819</c:v>
                </c:pt>
                <c:pt idx="12">
                  <c:v>0.10000000000013642</c:v>
                </c:pt>
                <c:pt idx="13">
                  <c:v>0.20000000000004547</c:v>
                </c:pt>
                <c:pt idx="14">
                  <c:v>9.9999999999909051E-2</c:v>
                </c:pt>
                <c:pt idx="15">
                  <c:v>0</c:v>
                </c:pt>
                <c:pt idx="16">
                  <c:v>0</c:v>
                </c:pt>
                <c:pt idx="17">
                  <c:v>0</c:v>
                </c:pt>
                <c:pt idx="18">
                  <c:v>0</c:v>
                </c:pt>
                <c:pt idx="19">
                  <c:v>9.8000000000001819</c:v>
                </c:pt>
                <c:pt idx="20">
                  <c:v>9.4000000000000909</c:v>
                </c:pt>
                <c:pt idx="21">
                  <c:v>4.0999999999999091</c:v>
                </c:pt>
                <c:pt idx="22">
                  <c:v>0</c:v>
                </c:pt>
                <c:pt idx="23">
                  <c:v>0</c:v>
                </c:pt>
                <c:pt idx="24">
                  <c:v>0</c:v>
                </c:pt>
                <c:pt idx="25">
                  <c:v>0</c:v>
                </c:pt>
                <c:pt idx="26">
                  <c:v>0</c:v>
                </c:pt>
                <c:pt idx="27">
                  <c:v>0</c:v>
                </c:pt>
                <c:pt idx="28">
                  <c:v>0</c:v>
                </c:pt>
                <c:pt idx="29">
                  <c:v>0</c:v>
                </c:pt>
                <c:pt idx="30">
                  <c:v>0</c:v>
                </c:pt>
                <c:pt idx="31">
                  <c:v>0</c:v>
                </c:pt>
              </c:numCache>
            </c:numRef>
          </c:val>
          <c:extLst xmlns:c16r2="http://schemas.microsoft.com/office/drawing/2015/06/chart">
            <c:ext xmlns:c16="http://schemas.microsoft.com/office/drawing/2014/chart" uri="{C3380CC4-5D6E-409C-BE32-E72D297353CC}">
              <c16:uniqueId val="{00000000-39F2-4EDE-A50D-EBBABC34DD30}"/>
            </c:ext>
          </c:extLst>
        </c:ser>
        <c:ser>
          <c:idx val="1"/>
          <c:order val="1"/>
          <c:tx>
            <c:strRef>
              <c:f>'Tablas dinamicas'!$J$82</c:f>
              <c:strCache>
                <c:ptCount val="1"/>
                <c:pt idx="0">
                  <c:v>Suma de Total Negativo</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showLeaderLines val="0"/>
          </c:dLbls>
          <c:cat>
            <c:strRef>
              <c:f>'Tablas dinamicas'!$H$83:$H$115</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dinamicas'!$J$83:$J$115</c:f>
              <c:numCache>
                <c:formatCode>General</c:formatCode>
                <c:ptCount val="32"/>
                <c:pt idx="0">
                  <c:v>0</c:v>
                </c:pt>
                <c:pt idx="1">
                  <c:v>0</c:v>
                </c:pt>
                <c:pt idx="2">
                  <c:v>0</c:v>
                </c:pt>
                <c:pt idx="3">
                  <c:v>0</c:v>
                </c:pt>
                <c:pt idx="4">
                  <c:v>0</c:v>
                </c:pt>
                <c:pt idx="5">
                  <c:v>0</c:v>
                </c:pt>
                <c:pt idx="6">
                  <c:v>0</c:v>
                </c:pt>
                <c:pt idx="7">
                  <c:v>0</c:v>
                </c:pt>
                <c:pt idx="8">
                  <c:v>0</c:v>
                </c:pt>
                <c:pt idx="9">
                  <c:v>0</c:v>
                </c:pt>
                <c:pt idx="10">
                  <c:v>-8</c:v>
                </c:pt>
                <c:pt idx="11">
                  <c:v>-3</c:v>
                </c:pt>
                <c:pt idx="12">
                  <c:v>0</c:v>
                </c:pt>
                <c:pt idx="13">
                  <c:v>-9</c:v>
                </c:pt>
                <c:pt idx="14">
                  <c:v>0</c:v>
                </c:pt>
                <c:pt idx="15">
                  <c:v>0</c:v>
                </c:pt>
                <c:pt idx="16">
                  <c:v>0</c:v>
                </c:pt>
                <c:pt idx="17">
                  <c:v>0</c:v>
                </c:pt>
                <c:pt idx="18">
                  <c:v>0</c:v>
                </c:pt>
                <c:pt idx="19">
                  <c:v>-6.1999999999998181</c:v>
                </c:pt>
                <c:pt idx="20">
                  <c:v>-3.7000000000000455</c:v>
                </c:pt>
                <c:pt idx="21">
                  <c:v>-6.2000000000000455</c:v>
                </c:pt>
                <c:pt idx="22">
                  <c:v>0</c:v>
                </c:pt>
                <c:pt idx="23">
                  <c:v>0</c:v>
                </c:pt>
                <c:pt idx="24">
                  <c:v>0</c:v>
                </c:pt>
                <c:pt idx="25">
                  <c:v>0</c:v>
                </c:pt>
                <c:pt idx="26">
                  <c:v>0</c:v>
                </c:pt>
                <c:pt idx="27">
                  <c:v>0</c:v>
                </c:pt>
                <c:pt idx="28">
                  <c:v>0</c:v>
                </c:pt>
                <c:pt idx="29">
                  <c:v>0</c:v>
                </c:pt>
                <c:pt idx="30">
                  <c:v>0</c:v>
                </c:pt>
                <c:pt idx="31">
                  <c:v>0</c:v>
                </c:pt>
              </c:numCache>
            </c:numRef>
          </c:val>
          <c:extLst xmlns:c16r2="http://schemas.microsoft.com/office/drawing/2015/06/chart">
            <c:ext xmlns:c16="http://schemas.microsoft.com/office/drawing/2014/chart" uri="{C3380CC4-5D6E-409C-BE32-E72D297353CC}">
              <c16:uniqueId val="{00000001-39F2-4EDE-A50D-EBBABC34DD30}"/>
            </c:ext>
          </c:extLst>
        </c:ser>
        <c:dLbls>
          <c:showLegendKey val="0"/>
          <c:showVal val="1"/>
          <c:showCatName val="0"/>
          <c:showSerName val="0"/>
          <c:showPercent val="0"/>
          <c:showBubbleSize val="0"/>
        </c:dLbls>
        <c:gapWidth val="150"/>
        <c:shape val="box"/>
        <c:axId val="191952384"/>
        <c:axId val="191953920"/>
        <c:axId val="0"/>
      </c:bar3DChart>
      <c:catAx>
        <c:axId val="191952384"/>
        <c:scaling>
          <c:orientation val="minMax"/>
        </c:scaling>
        <c:delete val="1"/>
        <c:axPos val="l"/>
        <c:numFmt formatCode="General" sourceLinked="1"/>
        <c:majorTickMark val="none"/>
        <c:minorTickMark val="none"/>
        <c:tickLblPos val="nextTo"/>
        <c:crossAx val="191953920"/>
        <c:crosses val="autoZero"/>
        <c:auto val="1"/>
        <c:lblAlgn val="ctr"/>
        <c:lblOffset val="100"/>
        <c:noMultiLvlLbl val="0"/>
      </c:catAx>
      <c:valAx>
        <c:axId val="191953920"/>
        <c:scaling>
          <c:orientation val="minMax"/>
        </c:scaling>
        <c:delete val="0"/>
        <c:axPos val="b"/>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919523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dinamicas!4</c:name>
    <c:fmtId val="2"/>
  </c:pivotSource>
  <c:chart>
    <c:title>
      <c:tx>
        <c:rich>
          <a:bodyPr rot="0" spcFirstLastPara="1" vertOverflow="ellipsis" vert="horz" wrap="square" anchor="ctr" anchorCtr="1"/>
          <a:lstStyle/>
          <a:p>
            <a:pPr>
              <a:defRPr sz="1800" b="1" i="0" u="none" strike="noStrike" kern="1200" baseline="0">
                <a:solidFill>
                  <a:schemeClr val="lt1">
                    <a:lumMod val="85000"/>
                  </a:schemeClr>
                </a:solidFill>
                <a:latin typeface="+mj-lt"/>
                <a:ea typeface="+mj-ea"/>
                <a:cs typeface="+mj-cs"/>
              </a:defRPr>
            </a:pPr>
            <a:r>
              <a:rPr lang="en-US"/>
              <a:t>Seguimiento</a:t>
            </a:r>
            <a:r>
              <a:rPr lang="en-US" baseline="0"/>
              <a:t> Semanal</a:t>
            </a:r>
            <a:endParaRPr lang="en-US"/>
          </a:p>
        </c:rich>
      </c:tx>
      <c:overlay val="0"/>
      <c:spPr>
        <a:noFill/>
        <a:ln>
          <a:noFill/>
        </a:ln>
        <a:effectLst/>
      </c:spPr>
    </c:title>
    <c:autoTitleDeleted val="0"/>
    <c:pivotFmts>
      <c:pivotFmt>
        <c:idx val="0"/>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1"/>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2"/>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3"/>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delete val="1"/>
          <c:extLst xmlns:c16r2="http://schemas.microsoft.com/office/drawing/2015/06/chart">
            <c:ext xmlns:c15="http://schemas.microsoft.com/office/drawing/2012/chart" uri="{CE6537A1-D6FC-4f65-9D91-7224C49458BB}"/>
          </c:extLst>
        </c:dLbl>
      </c:pivotFmt>
      <c:pivotFmt>
        <c:idx val="4"/>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lt1">
                      <a:lumMod val="85000"/>
                    </a:schemeClr>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marker>
          <c:symbol val="none"/>
        </c:marker>
      </c:pivotFmt>
    </c:pivotFmts>
    <c:plotArea>
      <c:layout/>
      <c:areaChart>
        <c:grouping val="standard"/>
        <c:varyColors val="0"/>
        <c:ser>
          <c:idx val="0"/>
          <c:order val="0"/>
          <c:tx>
            <c:strRef>
              <c:f>'Tablas dinamicas'!$Q$2</c:f>
              <c:strCache>
                <c:ptCount val="1"/>
                <c:pt idx="0">
                  <c:v>Total</c:v>
                </c:pt>
              </c:strCache>
            </c:strRef>
          </c:tx>
          <c:spPr>
            <a:gradFill>
              <a:gsLst>
                <a:gs pos="100000">
                  <a:schemeClr val="accent1"/>
                </a:gs>
                <a:gs pos="0">
                  <a:schemeClr val="accent1">
                    <a:lumMod val="75000"/>
                  </a:schemeClr>
                </a:gs>
              </a:gsLst>
              <a:lin ang="0" scaled="1"/>
            </a:gradFill>
            <a:ln>
              <a:noFill/>
            </a:ln>
            <a:effectLst>
              <a:innerShdw dist="12700" dir="16200000">
                <a:schemeClr val="lt1">
                  <a:alpha val="75000"/>
                </a:schemeClr>
              </a:innerShdw>
            </a:effectLst>
          </c:spPr>
          <c:cat>
            <c:strRef>
              <c:f>'Tablas dinamicas'!$P$3:$P$9</c:f>
              <c:strCache>
                <c:ptCount val="6"/>
                <c:pt idx="0">
                  <c:v>47</c:v>
                </c:pt>
                <c:pt idx="1">
                  <c:v>48</c:v>
                </c:pt>
                <c:pt idx="2">
                  <c:v>49</c:v>
                </c:pt>
                <c:pt idx="3">
                  <c:v>50</c:v>
                </c:pt>
                <c:pt idx="4">
                  <c:v>51</c:v>
                </c:pt>
                <c:pt idx="5">
                  <c:v>52</c:v>
                </c:pt>
              </c:strCache>
            </c:strRef>
          </c:cat>
          <c:val>
            <c:numRef>
              <c:f>'Tablas dinamicas'!$Q$3:$Q$9</c:f>
              <c:numCache>
                <c:formatCode>0</c:formatCode>
                <c:ptCount val="6"/>
                <c:pt idx="0">
                  <c:v>12.699999999999317</c:v>
                </c:pt>
                <c:pt idx="1">
                  <c:v>88.999999999999545</c:v>
                </c:pt>
                <c:pt idx="2">
                  <c:v>-71.099999999998644</c:v>
                </c:pt>
                <c:pt idx="3">
                  <c:v>25.600000000001366</c:v>
                </c:pt>
                <c:pt idx="4">
                  <c:v>0</c:v>
                </c:pt>
                <c:pt idx="5">
                  <c:v>0</c:v>
                </c:pt>
              </c:numCache>
            </c:numRef>
          </c:val>
          <c:extLst xmlns:c16r2="http://schemas.microsoft.com/office/drawing/2015/06/chart">
            <c:ext xmlns:c16="http://schemas.microsoft.com/office/drawing/2014/chart" uri="{C3380CC4-5D6E-409C-BE32-E72D297353CC}">
              <c16:uniqueId val="{00000000-0588-43CF-B11A-BC80AE2DE385}"/>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136550656"/>
        <c:axId val="136568832"/>
      </c:areaChart>
      <c:catAx>
        <c:axId val="136550656"/>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AR"/>
          </a:p>
        </c:txPr>
        <c:crossAx val="136568832"/>
        <c:crosses val="autoZero"/>
        <c:auto val="1"/>
        <c:lblAlgn val="ctr"/>
        <c:lblOffset val="100"/>
        <c:noMultiLvlLbl val="0"/>
      </c:catAx>
      <c:valAx>
        <c:axId val="136568832"/>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365506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dinamicas!6</c:name>
    <c:fmtId val="2"/>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Minutos por Operación</a:t>
            </a:r>
          </a:p>
        </c:rich>
      </c:tx>
      <c:overlay val="0"/>
      <c:spPr>
        <a:noFill/>
        <a:ln>
          <a:noFill/>
        </a:ln>
        <a:effectLst/>
      </c:spPr>
    </c:title>
    <c:autoTitleDeleted val="0"/>
    <c:pivotFmts>
      <c:pivotFmt>
        <c:idx val="0"/>
        <c:dLbl>
          <c:idx val="0"/>
          <c:delete val="1"/>
          <c:extLst xmlns:c16r2="http://schemas.microsoft.com/office/drawing/2015/06/chart">
            <c:ext xmlns:c15="http://schemas.microsoft.com/office/drawing/2012/chart" uri="{CE6537A1-D6FC-4f65-9D91-7224C49458BB}"/>
          </c:extLst>
        </c:dLbl>
      </c:pivotFmt>
      <c:pivotFmt>
        <c:idx val="1"/>
        <c:dLbl>
          <c:idx val="0"/>
          <c:delete val="1"/>
          <c:extLst xmlns:c16r2="http://schemas.microsoft.com/office/drawing/2015/06/chart">
            <c:ext xmlns:c15="http://schemas.microsoft.com/office/drawing/2012/chart" uri="{CE6537A1-D6FC-4f65-9D91-7224C49458BB}"/>
          </c:extLst>
        </c:dLbl>
      </c:pivotFmt>
      <c:pivotFmt>
        <c:idx val="2"/>
        <c:dLbl>
          <c:idx val="0"/>
          <c:delete val="1"/>
          <c:extLst xmlns:c16r2="http://schemas.microsoft.com/office/drawing/2015/06/chart">
            <c:ext xmlns:c15="http://schemas.microsoft.com/office/drawing/2012/chart" uri="{CE6537A1-D6FC-4f65-9D91-7224C49458BB}"/>
          </c:extLst>
        </c:dLbl>
      </c:pivotFmt>
      <c:pivotFmt>
        <c:idx val="3"/>
        <c:dLbl>
          <c:idx val="0"/>
          <c:delete val="1"/>
          <c:extLst xmlns:c16r2="http://schemas.microsoft.com/office/drawing/2015/06/chart">
            <c:ext xmlns:c15="http://schemas.microsoft.com/office/drawing/2012/chart" uri="{CE6537A1-D6FC-4f65-9D91-7224C49458BB}"/>
          </c:extLst>
        </c:dLbl>
      </c:pivotFmt>
      <c:pivotFmt>
        <c:idx val="4"/>
        <c:dLbl>
          <c:idx val="0"/>
          <c:delete val="1"/>
          <c:extLst xmlns:c16r2="http://schemas.microsoft.com/office/drawing/2015/06/chart">
            <c:ext xmlns:c15="http://schemas.microsoft.com/office/drawing/2012/chart" uri="{CE6537A1-D6FC-4f65-9D91-7224C49458BB}"/>
          </c:extLst>
        </c:dLbl>
      </c:pivotFmt>
      <c:pivotFmt>
        <c:idx val="5"/>
        <c:dLbl>
          <c:idx val="0"/>
          <c:delete val="1"/>
          <c:extLst xmlns:c16r2="http://schemas.microsoft.com/office/drawing/2015/06/chart">
            <c:ext xmlns:c15="http://schemas.microsoft.com/office/drawing/2012/chart" uri="{CE6537A1-D6FC-4f65-9D91-7224C49458BB}"/>
          </c:extLst>
        </c:dLbl>
      </c:pivotFmt>
      <c:pivotFmt>
        <c:idx val="6"/>
        <c:dLbl>
          <c:idx val="0"/>
          <c:delete val="1"/>
          <c:extLst xmlns:c16r2="http://schemas.microsoft.com/office/drawing/2015/06/chart">
            <c:ext xmlns:c15="http://schemas.microsoft.com/office/drawing/2012/chart" uri="{CE6537A1-D6FC-4f65-9D91-7224C49458BB}"/>
          </c:extLst>
        </c:dLbl>
      </c:pivotFmt>
      <c:pivotFmt>
        <c:idx val="7"/>
        <c:dLbl>
          <c:idx val="0"/>
          <c:delete val="1"/>
          <c:extLst xmlns:c16r2="http://schemas.microsoft.com/office/drawing/2015/06/chart">
            <c:ext xmlns:c15="http://schemas.microsoft.com/office/drawing/2012/chart" uri="{CE6537A1-D6FC-4f65-9D91-7224C49458BB}"/>
          </c:extLst>
        </c:dLbl>
      </c:pivotFmt>
      <c:pivotFmt>
        <c:idx val="8"/>
        <c:dLbl>
          <c:idx val="0"/>
          <c:delete val="1"/>
          <c:extLst xmlns:c16r2="http://schemas.microsoft.com/office/drawing/2015/06/chart">
            <c:ext xmlns:c15="http://schemas.microsoft.com/office/drawing/2012/chart" uri="{CE6537A1-D6FC-4f65-9D91-7224C49458BB}"/>
          </c:extLst>
        </c:dLbl>
      </c:pivotFmt>
      <c:pivotFmt>
        <c:idx val="9"/>
        <c:dLbl>
          <c:idx val="0"/>
          <c:delete val="1"/>
          <c:extLst xmlns:c16r2="http://schemas.microsoft.com/office/drawing/2015/06/chart">
            <c:ext xmlns:c15="http://schemas.microsoft.com/office/drawing/2012/chart" uri="{CE6537A1-D6FC-4f65-9D91-7224C49458BB}"/>
          </c:extLst>
        </c:dLbl>
      </c:pivotFmt>
      <c:pivotFmt>
        <c:idx val="10"/>
        <c:dLbl>
          <c:idx val="0"/>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noFill/>
          <a:ln w="9525" cap="flat" cmpd="sng" algn="ctr">
            <a:solidFill>
              <a:schemeClr val="accent2"/>
            </a:solidFill>
            <a:miter lim="800000"/>
          </a:ln>
          <a:effectLst>
            <a:glow rad="63500">
              <a:schemeClr val="accent2">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7"/>
        <c:spPr>
          <a:noFill/>
          <a:ln w="9525" cap="flat" cmpd="sng" algn="ctr">
            <a:solidFill>
              <a:schemeClr val="accent3"/>
            </a:solidFill>
            <a:miter lim="800000"/>
          </a:ln>
          <a:effectLst>
            <a:glow rad="63500">
              <a:schemeClr val="accent3">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8"/>
        <c:spPr>
          <a:noFill/>
          <a:ln w="9525" cap="flat" cmpd="sng" algn="ctr">
            <a:solidFill>
              <a:schemeClr val="accent4"/>
            </a:solidFill>
            <a:miter lim="800000"/>
          </a:ln>
          <a:effectLst>
            <a:glow rad="63500">
              <a:schemeClr val="accent4">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9"/>
        <c:spPr>
          <a:noFill/>
          <a:ln w="9525" cap="flat" cmpd="sng" algn="ctr">
            <a:solidFill>
              <a:schemeClr val="accent5"/>
            </a:solidFill>
            <a:miter lim="800000"/>
          </a:ln>
          <a:effectLst>
            <a:glow rad="63500">
              <a:schemeClr val="accent5">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4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plotArea>
      <c:layout/>
      <c:barChart>
        <c:barDir val="col"/>
        <c:grouping val="clustered"/>
        <c:varyColors val="0"/>
        <c:ser>
          <c:idx val="0"/>
          <c:order val="0"/>
          <c:tx>
            <c:strRef>
              <c:f>'Tablas dinamicas'!$Q$123:$Q$124</c:f>
              <c:strCache>
                <c:ptCount val="1"/>
                <c:pt idx="0">
                  <c:v>1</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dinamicas'!$Q$125:$Q$157</c:f>
              <c:numCache>
                <c:formatCode>h:mm</c:formatCode>
                <c:ptCount val="32"/>
                <c:pt idx="0">
                  <c:v>1.7708333333333332E-3</c:v>
                </c:pt>
                <c:pt idx="1">
                  <c:v>0</c:v>
                </c:pt>
                <c:pt idx="2">
                  <c:v>0</c:v>
                </c:pt>
                <c:pt idx="3">
                  <c:v>8.5879629629629622E-3</c:v>
                </c:pt>
                <c:pt idx="4">
                  <c:v>0</c:v>
                </c:pt>
                <c:pt idx="5">
                  <c:v>2.2361111111111113E-2</c:v>
                </c:pt>
                <c:pt idx="6">
                  <c:v>0</c:v>
                </c:pt>
                <c:pt idx="7">
                  <c:v>1.6770833333333332E-2</c:v>
                </c:pt>
                <c:pt idx="8">
                  <c:v>0</c:v>
                </c:pt>
                <c:pt idx="9">
                  <c:v>0</c:v>
                </c:pt>
                <c:pt idx="10">
                  <c:v>4.6643518518518518E-3</c:v>
                </c:pt>
                <c:pt idx="11">
                  <c:v>6.9444444444444447E-4</c:v>
                </c:pt>
                <c:pt idx="12">
                  <c:v>2.9398148148148148E-3</c:v>
                </c:pt>
                <c:pt idx="13">
                  <c:v>1.4814814814814814E-3</c:v>
                </c:pt>
                <c:pt idx="14">
                  <c:v>9.6990740740740735E-3</c:v>
                </c:pt>
                <c:pt idx="15">
                  <c:v>0</c:v>
                </c:pt>
                <c:pt idx="16">
                  <c:v>0</c:v>
                </c:pt>
                <c:pt idx="17">
                  <c:v>0</c:v>
                </c:pt>
                <c:pt idx="18">
                  <c:v>0</c:v>
                </c:pt>
                <c:pt idx="19">
                  <c:v>8.4837962962962966E-3</c:v>
                </c:pt>
                <c:pt idx="20">
                  <c:v>1.2118055555555556E-2</c:v>
                </c:pt>
                <c:pt idx="21">
                  <c:v>5.4513888888888884E-3</c:v>
                </c:pt>
                <c:pt idx="22">
                  <c:v>0</c:v>
                </c:pt>
                <c:pt idx="23">
                  <c:v>0</c:v>
                </c:pt>
                <c:pt idx="24">
                  <c:v>0</c:v>
                </c:pt>
                <c:pt idx="25">
                  <c:v>0</c:v>
                </c:pt>
                <c:pt idx="26">
                  <c:v>0</c:v>
                </c:pt>
                <c:pt idx="27">
                  <c:v>0</c:v>
                </c:pt>
                <c:pt idx="28">
                  <c:v>0</c:v>
                </c:pt>
                <c:pt idx="31">
                  <c:v>0</c:v>
                </c:pt>
              </c:numCache>
            </c:numRef>
          </c:val>
          <c:extLst xmlns:c16r2="http://schemas.microsoft.com/office/drawing/2015/06/chart">
            <c:ext xmlns:c16="http://schemas.microsoft.com/office/drawing/2014/chart" uri="{C3380CC4-5D6E-409C-BE32-E72D297353CC}">
              <c16:uniqueId val="{00000000-9DF5-443D-B2C8-8A259DA1B613}"/>
            </c:ext>
          </c:extLst>
        </c:ser>
        <c:ser>
          <c:idx val="1"/>
          <c:order val="1"/>
          <c:tx>
            <c:strRef>
              <c:f>'Tablas dinamicas'!$R$123:$R$124</c:f>
              <c:strCache>
                <c:ptCount val="1"/>
                <c:pt idx="0">
                  <c:v>2</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dinamicas'!$R$125:$R$157</c:f>
              <c:numCache>
                <c:formatCode>h:mm</c:formatCode>
                <c:ptCount val="32"/>
                <c:pt idx="0">
                  <c:v>6.4583333333333333E-3</c:v>
                </c:pt>
                <c:pt idx="1">
                  <c:v>0</c:v>
                </c:pt>
                <c:pt idx="2">
                  <c:v>0</c:v>
                </c:pt>
                <c:pt idx="3">
                  <c:v>0</c:v>
                </c:pt>
                <c:pt idx="4">
                  <c:v>0</c:v>
                </c:pt>
                <c:pt idx="5">
                  <c:v>0</c:v>
                </c:pt>
                <c:pt idx="6">
                  <c:v>0</c:v>
                </c:pt>
                <c:pt idx="7">
                  <c:v>0</c:v>
                </c:pt>
                <c:pt idx="8">
                  <c:v>0</c:v>
                </c:pt>
                <c:pt idx="9">
                  <c:v>0</c:v>
                </c:pt>
                <c:pt idx="10">
                  <c:v>1.2256944444444444E-2</c:v>
                </c:pt>
                <c:pt idx="11">
                  <c:v>1.423611111111111E-3</c:v>
                </c:pt>
                <c:pt idx="12">
                  <c:v>0</c:v>
                </c:pt>
                <c:pt idx="13">
                  <c:v>1.7222222222222222E-2</c:v>
                </c:pt>
                <c:pt idx="14">
                  <c:v>0</c:v>
                </c:pt>
                <c:pt idx="15">
                  <c:v>0</c:v>
                </c:pt>
                <c:pt idx="16">
                  <c:v>0</c:v>
                </c:pt>
                <c:pt idx="17">
                  <c:v>0</c:v>
                </c:pt>
                <c:pt idx="18">
                  <c:v>0</c:v>
                </c:pt>
                <c:pt idx="19">
                  <c:v>1.3194444444444444E-2</c:v>
                </c:pt>
                <c:pt idx="20">
                  <c:v>7.3958333333333341E-3</c:v>
                </c:pt>
                <c:pt idx="21">
                  <c:v>1.8518518518518518E-4</c:v>
                </c:pt>
                <c:pt idx="22">
                  <c:v>0</c:v>
                </c:pt>
                <c:pt idx="23">
                  <c:v>0</c:v>
                </c:pt>
                <c:pt idx="24">
                  <c:v>0</c:v>
                </c:pt>
                <c:pt idx="25">
                  <c:v>0</c:v>
                </c:pt>
                <c:pt idx="26">
                  <c:v>0</c:v>
                </c:pt>
                <c:pt idx="27">
                  <c:v>0</c:v>
                </c:pt>
                <c:pt idx="28">
                  <c:v>0</c:v>
                </c:pt>
                <c:pt idx="31">
                  <c:v>0</c:v>
                </c:pt>
              </c:numCache>
            </c:numRef>
          </c:val>
        </c:ser>
        <c:ser>
          <c:idx val="2"/>
          <c:order val="2"/>
          <c:tx>
            <c:strRef>
              <c:f>'Tablas dinamicas'!$S$123:$S$124</c:f>
              <c:strCache>
                <c:ptCount val="1"/>
                <c:pt idx="0">
                  <c:v>3</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dinamicas'!$S$125:$S$157</c:f>
              <c:numCache>
                <c:formatCode>h:mm</c:formatCode>
                <c:ptCount val="32"/>
                <c:pt idx="0">
                  <c:v>0</c:v>
                </c:pt>
                <c:pt idx="1">
                  <c:v>0</c:v>
                </c:pt>
                <c:pt idx="2">
                  <c:v>0</c:v>
                </c:pt>
                <c:pt idx="3">
                  <c:v>0</c:v>
                </c:pt>
                <c:pt idx="4">
                  <c:v>0</c:v>
                </c:pt>
                <c:pt idx="5">
                  <c:v>0</c:v>
                </c:pt>
                <c:pt idx="6">
                  <c:v>0</c:v>
                </c:pt>
                <c:pt idx="7">
                  <c:v>0</c:v>
                </c:pt>
                <c:pt idx="8">
                  <c:v>0</c:v>
                </c:pt>
                <c:pt idx="9">
                  <c:v>0</c:v>
                </c:pt>
                <c:pt idx="10">
                  <c:v>0</c:v>
                </c:pt>
                <c:pt idx="11">
                  <c:v>3.7500000000000003E-3</c:v>
                </c:pt>
                <c:pt idx="12">
                  <c:v>0</c:v>
                </c:pt>
                <c:pt idx="13">
                  <c:v>5.7291666666666671E-3</c:v>
                </c:pt>
                <c:pt idx="14">
                  <c:v>0</c:v>
                </c:pt>
                <c:pt idx="15">
                  <c:v>0</c:v>
                </c:pt>
                <c:pt idx="16">
                  <c:v>0</c:v>
                </c:pt>
                <c:pt idx="17">
                  <c:v>0</c:v>
                </c:pt>
                <c:pt idx="18">
                  <c:v>0</c:v>
                </c:pt>
                <c:pt idx="19">
                  <c:v>4.4444444444444444E-3</c:v>
                </c:pt>
                <c:pt idx="20">
                  <c:v>2.372685185185185E-2</c:v>
                </c:pt>
                <c:pt idx="21">
                  <c:v>1.3194444444444443E-3</c:v>
                </c:pt>
                <c:pt idx="22">
                  <c:v>0</c:v>
                </c:pt>
                <c:pt idx="23">
                  <c:v>0</c:v>
                </c:pt>
                <c:pt idx="24">
                  <c:v>0</c:v>
                </c:pt>
                <c:pt idx="25">
                  <c:v>0</c:v>
                </c:pt>
                <c:pt idx="26">
                  <c:v>0</c:v>
                </c:pt>
                <c:pt idx="27">
                  <c:v>0</c:v>
                </c:pt>
                <c:pt idx="28">
                  <c:v>0</c:v>
                </c:pt>
                <c:pt idx="31">
                  <c:v>0</c:v>
                </c:pt>
              </c:numCache>
            </c:numRef>
          </c:val>
        </c:ser>
        <c:ser>
          <c:idx val="3"/>
          <c:order val="3"/>
          <c:tx>
            <c:strRef>
              <c:f>'Tablas dinamicas'!$T$123:$T$124</c:f>
              <c:strCache>
                <c:ptCount val="1"/>
                <c:pt idx="0">
                  <c:v>4</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dinamicas'!$T$125:$T$157</c:f>
              <c:numCache>
                <c:formatCode>h:mm</c:formatCode>
                <c:ptCount val="32"/>
                <c:pt idx="0">
                  <c:v>0</c:v>
                </c:pt>
                <c:pt idx="1">
                  <c:v>0</c:v>
                </c:pt>
                <c:pt idx="2">
                  <c:v>0</c:v>
                </c:pt>
                <c:pt idx="3">
                  <c:v>0</c:v>
                </c:pt>
                <c:pt idx="4">
                  <c:v>0</c:v>
                </c:pt>
                <c:pt idx="5">
                  <c:v>0</c:v>
                </c:pt>
                <c:pt idx="6">
                  <c:v>0</c:v>
                </c:pt>
                <c:pt idx="7">
                  <c:v>0</c:v>
                </c:pt>
                <c:pt idx="8">
                  <c:v>0</c:v>
                </c:pt>
                <c:pt idx="9">
                  <c:v>0</c:v>
                </c:pt>
                <c:pt idx="10">
                  <c:v>0</c:v>
                </c:pt>
                <c:pt idx="11">
                  <c:v>1.9560185185185184E-3</c:v>
                </c:pt>
                <c:pt idx="12">
                  <c:v>0</c:v>
                </c:pt>
                <c:pt idx="13">
                  <c:v>1.4282407407407409E-2</c:v>
                </c:pt>
                <c:pt idx="14">
                  <c:v>0</c:v>
                </c:pt>
                <c:pt idx="15">
                  <c:v>0</c:v>
                </c:pt>
                <c:pt idx="16">
                  <c:v>0</c:v>
                </c:pt>
                <c:pt idx="17">
                  <c:v>0</c:v>
                </c:pt>
                <c:pt idx="18">
                  <c:v>0</c:v>
                </c:pt>
                <c:pt idx="19">
                  <c:v>1.5150462962962963E-2</c:v>
                </c:pt>
                <c:pt idx="20">
                  <c:v>0</c:v>
                </c:pt>
                <c:pt idx="21">
                  <c:v>2.7777777777777779E-3</c:v>
                </c:pt>
                <c:pt idx="22">
                  <c:v>0</c:v>
                </c:pt>
                <c:pt idx="23">
                  <c:v>0</c:v>
                </c:pt>
                <c:pt idx="24">
                  <c:v>0</c:v>
                </c:pt>
                <c:pt idx="25">
                  <c:v>0</c:v>
                </c:pt>
                <c:pt idx="26">
                  <c:v>0</c:v>
                </c:pt>
                <c:pt idx="27">
                  <c:v>0</c:v>
                </c:pt>
                <c:pt idx="28">
                  <c:v>0</c:v>
                </c:pt>
                <c:pt idx="31">
                  <c:v>0</c:v>
                </c:pt>
              </c:numCache>
            </c:numRef>
          </c:val>
        </c:ser>
        <c:ser>
          <c:idx val="4"/>
          <c:order val="4"/>
          <c:tx>
            <c:strRef>
              <c:f>'Tablas dinamicas'!$U$123:$U$124</c:f>
              <c:strCache>
                <c:ptCount val="1"/>
                <c:pt idx="0">
                  <c:v>5</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dinamicas'!$U$125:$U$157</c:f>
              <c:numCache>
                <c:formatCode>h:mm</c:formatCode>
                <c:ptCount val="3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8.7152777777777784E-3</c:v>
                </c:pt>
                <c:pt idx="20">
                  <c:v>0</c:v>
                </c:pt>
                <c:pt idx="21">
                  <c:v>3.4375E-3</c:v>
                </c:pt>
                <c:pt idx="22">
                  <c:v>0</c:v>
                </c:pt>
                <c:pt idx="23">
                  <c:v>0</c:v>
                </c:pt>
                <c:pt idx="24">
                  <c:v>0</c:v>
                </c:pt>
                <c:pt idx="25">
                  <c:v>0</c:v>
                </c:pt>
                <c:pt idx="26">
                  <c:v>0</c:v>
                </c:pt>
                <c:pt idx="27">
                  <c:v>0</c:v>
                </c:pt>
                <c:pt idx="28">
                  <c:v>0</c:v>
                </c:pt>
                <c:pt idx="31">
                  <c:v>0</c:v>
                </c:pt>
              </c:numCache>
            </c:numRef>
          </c:val>
        </c:ser>
        <c:ser>
          <c:idx val="5"/>
          <c:order val="5"/>
          <c:tx>
            <c:strRef>
              <c:f>'Tablas dinamicas'!$V$123:$V$124</c:f>
              <c:strCache>
                <c:ptCount val="1"/>
                <c:pt idx="0">
                  <c:v>(en blanco)</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outEnd"/>
            <c:showLegendKey val="0"/>
            <c:showVal val="1"/>
            <c:showCatName val="0"/>
            <c:showSerName val="0"/>
            <c:showPercent val="0"/>
            <c:showBubbleSize val="0"/>
            <c:showLeaderLines val="0"/>
          </c:dLbls>
          <c:cat>
            <c:strRef>
              <c:f>'Tablas dinamicas'!$P$125:$P$157</c:f>
              <c:strCache>
                <c:ptCount val="32"/>
                <c:pt idx="0">
                  <c:v>Friday</c:v>
                </c:pt>
                <c:pt idx="1">
                  <c:v>Saturday</c:v>
                </c:pt>
                <c:pt idx="2">
                  <c:v>Sunday</c:v>
                </c:pt>
                <c:pt idx="3">
                  <c:v>Monday</c:v>
                </c:pt>
                <c:pt idx="4">
                  <c:v>Tuesday</c:v>
                </c:pt>
                <c:pt idx="5">
                  <c:v>Wednesday</c:v>
                </c:pt>
                <c:pt idx="6">
                  <c:v>Thursday</c:v>
                </c:pt>
                <c:pt idx="7">
                  <c:v>Friday</c:v>
                </c:pt>
                <c:pt idx="8">
                  <c:v>Saturday</c:v>
                </c:pt>
                <c:pt idx="9">
                  <c:v>Sunday</c:v>
                </c:pt>
                <c:pt idx="10">
                  <c:v>Monday</c:v>
                </c:pt>
                <c:pt idx="11">
                  <c:v>Tuesday</c:v>
                </c:pt>
                <c:pt idx="12">
                  <c:v>Wednesday</c:v>
                </c:pt>
                <c:pt idx="13">
                  <c:v>Thursday</c:v>
                </c:pt>
                <c:pt idx="14">
                  <c:v>Friday</c:v>
                </c:pt>
                <c:pt idx="15">
                  <c:v>Saturday</c:v>
                </c:pt>
                <c:pt idx="16">
                  <c:v>Sunday</c:v>
                </c:pt>
                <c:pt idx="17">
                  <c:v>Monday</c:v>
                </c:pt>
                <c:pt idx="18">
                  <c:v>Tuesday</c:v>
                </c:pt>
                <c:pt idx="19">
                  <c:v>Wednesday</c:v>
                </c:pt>
                <c:pt idx="20">
                  <c:v>Thursday</c:v>
                </c:pt>
                <c:pt idx="21">
                  <c:v>Friday</c:v>
                </c:pt>
                <c:pt idx="22">
                  <c:v>Saturday</c:v>
                </c:pt>
                <c:pt idx="23">
                  <c:v>Sunday</c:v>
                </c:pt>
                <c:pt idx="24">
                  <c:v>Monday</c:v>
                </c:pt>
                <c:pt idx="25">
                  <c:v>Tuesday</c:v>
                </c:pt>
                <c:pt idx="26">
                  <c:v>Wednesday</c:v>
                </c:pt>
                <c:pt idx="27">
                  <c:v>Thursday</c:v>
                </c:pt>
                <c:pt idx="28">
                  <c:v>Friday</c:v>
                </c:pt>
                <c:pt idx="29">
                  <c:v>Saturday</c:v>
                </c:pt>
                <c:pt idx="30">
                  <c:v>Sunday</c:v>
                </c:pt>
                <c:pt idx="31">
                  <c:v>Monday</c:v>
                </c:pt>
              </c:strCache>
            </c:strRef>
          </c:cat>
          <c:val>
            <c:numRef>
              <c:f>'Tablas dinamicas'!$V$125:$V$157</c:f>
              <c:numCache>
                <c:formatCode>h:mm</c:formatCode>
                <c:ptCount val="32"/>
                <c:pt idx="29">
                  <c:v>0</c:v>
                </c:pt>
                <c:pt idx="30">
                  <c:v>0</c:v>
                </c:pt>
              </c:numCache>
            </c:numRef>
          </c:val>
        </c:ser>
        <c:dLbls>
          <c:dLblPos val="outEnd"/>
          <c:showLegendKey val="0"/>
          <c:showVal val="1"/>
          <c:showCatName val="0"/>
          <c:showSerName val="0"/>
          <c:showPercent val="0"/>
          <c:showBubbleSize val="0"/>
        </c:dLbls>
        <c:gapWidth val="315"/>
        <c:overlap val="-40"/>
        <c:axId val="136337280"/>
        <c:axId val="136338816"/>
      </c:barChart>
      <c:catAx>
        <c:axId val="136337280"/>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36338816"/>
        <c:crosses val="autoZero"/>
        <c:auto val="1"/>
        <c:lblAlgn val="ctr"/>
        <c:lblOffset val="100"/>
        <c:noMultiLvlLbl val="0"/>
      </c:catAx>
      <c:valAx>
        <c:axId val="13633881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36337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legend>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dinamicas!7</c:name>
    <c:fmtId val="5"/>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BUY vs SELL</a:t>
            </a:r>
          </a:p>
        </c:rich>
      </c:tx>
      <c:overlay val="0"/>
      <c:spPr>
        <a:noFill/>
        <a:ln>
          <a:noFill/>
        </a:ln>
        <a:effectLst/>
      </c:spPr>
    </c:title>
    <c:autoTitleDeleted val="0"/>
    <c:pivotFmts>
      <c:pivotFmt>
        <c:idx val="0"/>
        <c:dLbl>
          <c:idx val="0"/>
          <c:delete val="1"/>
          <c:extLst xmlns:c16r2="http://schemas.microsoft.com/office/drawing/2015/06/chart">
            <c:ext xmlns:c15="http://schemas.microsoft.com/office/drawing/2012/chart" uri="{CE6537A1-D6FC-4f65-9D91-7224C49458BB}"/>
          </c:extLst>
        </c:dLbl>
      </c:pivotFmt>
      <c:pivotFmt>
        <c:idx val="1"/>
        <c:dLbl>
          <c:idx val="0"/>
          <c:delete val="1"/>
          <c:extLst xmlns:c16r2="http://schemas.microsoft.com/office/drawing/2015/06/chart">
            <c:ext xmlns:c15="http://schemas.microsoft.com/office/drawing/2012/chart" uri="{CE6537A1-D6FC-4f65-9D91-7224C49458BB}"/>
          </c:extLst>
        </c:dLbl>
      </c:pivotFmt>
      <c:pivotFmt>
        <c:idx val="2"/>
        <c:dLbl>
          <c:idx val="0"/>
          <c:delete val="1"/>
          <c:extLst xmlns:c16r2="http://schemas.microsoft.com/office/drawing/2015/06/chart">
            <c:ext xmlns:c15="http://schemas.microsoft.com/office/drawing/2012/chart" uri="{CE6537A1-D6FC-4f65-9D91-7224C49458BB}"/>
          </c:extLst>
        </c:dLbl>
      </c:pivotFmt>
      <c:pivotFmt>
        <c:idx val="3"/>
        <c:dLbl>
          <c:idx val="0"/>
          <c:delete val="1"/>
          <c:extLst xmlns:c16r2="http://schemas.microsoft.com/office/drawing/2015/06/chart">
            <c:ext xmlns:c15="http://schemas.microsoft.com/office/drawing/2012/chart" uri="{CE6537A1-D6FC-4f65-9D91-7224C49458BB}"/>
          </c:extLst>
        </c:dLbl>
      </c:pivotFmt>
      <c:pivotFmt>
        <c:idx val="4"/>
        <c:dLbl>
          <c:idx val="0"/>
          <c:delete val="1"/>
          <c:extLst xmlns:c16r2="http://schemas.microsoft.com/office/drawing/2015/06/chart">
            <c:ext xmlns:c15="http://schemas.microsoft.com/office/drawing/2012/chart" uri="{CE6537A1-D6FC-4f65-9D91-7224C49458BB}"/>
          </c:extLst>
        </c:dLbl>
      </c:pivotFmt>
      <c:pivotFmt>
        <c:idx val="5"/>
        <c:dLbl>
          <c:idx val="0"/>
          <c:delete val="1"/>
          <c:extLst xmlns:c16r2="http://schemas.microsoft.com/office/drawing/2015/06/chart">
            <c:ext xmlns:c15="http://schemas.microsoft.com/office/drawing/2012/chart" uri="{CE6537A1-D6FC-4f65-9D91-7224C49458BB}"/>
          </c:extLst>
        </c:dLbl>
      </c:pivotFmt>
      <c:pivotFmt>
        <c:idx val="6"/>
        <c:dLbl>
          <c:idx val="0"/>
          <c:delete val="1"/>
          <c:extLst xmlns:c16r2="http://schemas.microsoft.com/office/drawing/2015/06/chart">
            <c:ext xmlns:c15="http://schemas.microsoft.com/office/drawing/2012/chart" uri="{CE6537A1-D6FC-4f65-9D91-7224C49458BB}"/>
          </c:extLst>
        </c:dLbl>
      </c:pivotFmt>
      <c:pivotFmt>
        <c:idx val="7"/>
        <c:dLbl>
          <c:idx val="0"/>
          <c:delete val="1"/>
          <c:extLst xmlns:c16r2="http://schemas.microsoft.com/office/drawing/2015/06/chart">
            <c:ext xmlns:c15="http://schemas.microsoft.com/office/drawing/2012/chart" uri="{CE6537A1-D6FC-4f65-9D91-7224C49458BB}"/>
          </c:extLst>
        </c:dLbl>
      </c:pivotFmt>
      <c:pivotFmt>
        <c:idx val="8"/>
        <c:dLbl>
          <c:idx val="0"/>
          <c:delete val="1"/>
          <c:extLst xmlns:c16r2="http://schemas.microsoft.com/office/drawing/2015/06/chart">
            <c:ext xmlns:c15="http://schemas.microsoft.com/office/drawing/2012/chart" uri="{CE6537A1-D6FC-4f65-9D91-7224C49458BB}"/>
          </c:extLst>
        </c:dLbl>
      </c:pivotFmt>
      <c:pivotFmt>
        <c:idx val="9"/>
        <c:spPr>
          <a:solidFill>
            <a:srgbClr val="FF0000"/>
          </a:soli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0"/>
        <c:dLbl>
          <c:idx val="0"/>
          <c:showLegendKey val="0"/>
          <c:showVal val="1"/>
          <c:showCatName val="0"/>
          <c:showSerName val="1"/>
          <c:showPercent val="0"/>
          <c:showBubbleSize val="0"/>
          <c:extLst xmlns:c16r2="http://schemas.microsoft.com/office/drawing/2015/06/chart">
            <c:ext xmlns:c15="http://schemas.microsoft.com/office/drawing/2012/chart" uri="{CE6537A1-D6FC-4f65-9D91-7224C49458BB}"/>
          </c:extLst>
        </c:dLbl>
      </c:pivotFmt>
      <c:pivotFmt>
        <c:idx val="11"/>
        <c:spPr>
          <a:solidFill>
            <a:srgbClr val="00FF00"/>
          </a:soli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ysClr val="windowText" lastClr="000000"/>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2"/>
        <c:dLbl>
          <c:idx val="0"/>
          <c:showLegendKey val="0"/>
          <c:showVal val="1"/>
          <c:showCatName val="0"/>
          <c:showSerName val="1"/>
          <c:showPercent val="0"/>
          <c:showBubbleSize val="0"/>
          <c:extLst xmlns:c16r2="http://schemas.microsoft.com/office/drawing/2015/06/chart">
            <c:ext xmlns:c15="http://schemas.microsoft.com/office/drawing/2012/chart" uri="{CE6537A1-D6FC-4f65-9D91-7224C49458BB}"/>
          </c:extLst>
        </c:dLbl>
      </c:pivotFmt>
      <c:pivotFmt>
        <c:idx val="1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4"/>
        <c:dLbl>
          <c:idx val="0"/>
          <c:showLegendKey val="0"/>
          <c:showVal val="1"/>
          <c:showCatName val="0"/>
          <c:showSerName val="1"/>
          <c:showPercent val="0"/>
          <c:showBubbleSize val="0"/>
          <c:extLst xmlns:c16r2="http://schemas.microsoft.com/office/drawing/2015/06/chart">
            <c:ext xmlns:c15="http://schemas.microsoft.com/office/drawing/2012/chart" uri="{CE6537A1-D6FC-4f65-9D91-7224C49458BB}"/>
          </c:extLst>
        </c:dLbl>
      </c:pivotFmt>
      <c:pivotFmt>
        <c:idx val="15"/>
        <c:dLbl>
          <c:idx val="0"/>
          <c:layout>
            <c:manualLayout>
              <c:x val="-6.9926617429273641E-2"/>
              <c:y val="4.6969818008598067E-3"/>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6"/>
        <c:dLbl>
          <c:idx val="0"/>
          <c:layout>
            <c:manualLayout>
              <c:x val="-8.7408271786592037E-2"/>
              <c:y val="-1.076379228272343E-17"/>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7"/>
        <c:dLbl>
          <c:idx val="0"/>
          <c:layout>
            <c:manualLayout>
              <c:x val="-7.9250166419843449E-2"/>
              <c:y val="4.6969818008598067E-3"/>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8"/>
        <c:dLbl>
          <c:idx val="0"/>
          <c:layout>
            <c:manualLayout>
              <c:x val="-9.5566377153340626E-2"/>
              <c:y val="1.4091685084752784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FF00"/>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FF00"/>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FF00"/>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rAngAx val="1"/>
    </c:view3D>
    <c:floor>
      <c:thickness val="0"/>
      <c:spPr>
        <a:noFill/>
        <a:ln w="25400">
          <a:noFill/>
        </a:ln>
        <a:effectLst/>
        <a:sp3d/>
      </c:spPr>
    </c:floor>
    <c:sideWall>
      <c:thickness val="0"/>
      <c:spPr>
        <a:noFill/>
        <a:ln>
          <a:noFill/>
        </a:ln>
        <a:effectLst>
          <a:innerShdw blurRad="63500" dist="50800" dir="16200000">
            <a:prstClr val="black">
              <a:alpha val="50000"/>
            </a:prstClr>
          </a:innerShdw>
        </a:effectLst>
        <a:sp3d/>
      </c:spPr>
    </c:sideWall>
    <c:backWall>
      <c:thickness val="0"/>
      <c:spPr>
        <a:noFill/>
        <a:ln>
          <a:noFill/>
        </a:ln>
        <a:effectLst>
          <a:innerShdw blurRad="63500" dist="50800" dir="16200000">
            <a:prstClr val="black">
              <a:alpha val="50000"/>
            </a:prstClr>
          </a:innerShdw>
        </a:effectLst>
        <a:sp3d/>
      </c:spPr>
    </c:backWall>
    <c:plotArea>
      <c:layout/>
      <c:bar3DChart>
        <c:barDir val="bar"/>
        <c:grouping val="stacked"/>
        <c:varyColors val="0"/>
        <c:ser>
          <c:idx val="0"/>
          <c:order val="0"/>
          <c:tx>
            <c:strRef>
              <c:f>'Tablas dinamicas'!$Q$168</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FF00"/>
                    </a:solidFill>
                    <a:latin typeface="+mn-lt"/>
                    <a:ea typeface="+mn-ea"/>
                    <a:cs typeface="+mn-cs"/>
                  </a:defRPr>
                </a:pPr>
                <a:endParaRPr lang="es-AR"/>
              </a:p>
            </c:txPr>
            <c:showLegendKey val="0"/>
            <c:showVal val="1"/>
            <c:showCatName val="0"/>
            <c:showSerName val="0"/>
            <c:showPercent val="0"/>
            <c:showBubbleSize val="0"/>
            <c:showLeaderLines val="0"/>
          </c:dLbls>
          <c:cat>
            <c:strRef>
              <c:f>'Tablas dinamicas'!$P$169:$P$171</c:f>
              <c:strCache>
                <c:ptCount val="2"/>
                <c:pt idx="0">
                  <c:v>BUY</c:v>
                </c:pt>
                <c:pt idx="1">
                  <c:v>SELL</c:v>
                </c:pt>
              </c:strCache>
            </c:strRef>
          </c:cat>
          <c:val>
            <c:numRef>
              <c:f>'Tablas dinamicas'!$Q$169:$Q$171</c:f>
              <c:numCache>
                <c:formatCode>General</c:formatCode>
                <c:ptCount val="2"/>
                <c:pt idx="0">
                  <c:v>20.700000000000234</c:v>
                </c:pt>
                <c:pt idx="1">
                  <c:v>35.500000000001357</c:v>
                </c:pt>
              </c:numCache>
            </c:numRef>
          </c:val>
          <c:extLst xmlns:c16r2="http://schemas.microsoft.com/office/drawing/2015/06/chart">
            <c:ext xmlns:c16="http://schemas.microsoft.com/office/drawing/2014/chart" uri="{C3380CC4-5D6E-409C-BE32-E72D297353CC}">
              <c16:uniqueId val="{00000000-6325-4ABD-B85D-3A176BBAFCB9}"/>
            </c:ext>
          </c:extLst>
        </c:ser>
        <c:dLbls>
          <c:showLegendKey val="0"/>
          <c:showVal val="1"/>
          <c:showCatName val="0"/>
          <c:showSerName val="0"/>
          <c:showPercent val="0"/>
          <c:showBubbleSize val="0"/>
        </c:dLbls>
        <c:gapWidth val="55"/>
        <c:shape val="box"/>
        <c:axId val="153415680"/>
        <c:axId val="153418368"/>
        <c:axId val="0"/>
      </c:bar3DChart>
      <c:catAx>
        <c:axId val="153415680"/>
        <c:scaling>
          <c:orientation val="minMax"/>
        </c:scaling>
        <c:delete val="0"/>
        <c:axPos val="l"/>
        <c:numFmt formatCode="General" sourceLinked="1"/>
        <c:majorTickMark val="none"/>
        <c:minorTickMark val="none"/>
        <c:tickLblPos val="high"/>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600" b="0" i="0" u="none" strike="noStrike" kern="1200" baseline="0">
                <a:solidFill>
                  <a:srgbClr val="FFFF00"/>
                </a:solidFill>
                <a:latin typeface="+mn-lt"/>
                <a:ea typeface="+mn-ea"/>
                <a:cs typeface="+mn-cs"/>
              </a:defRPr>
            </a:pPr>
            <a:endParaRPr lang="es-AR"/>
          </a:p>
        </c:txPr>
        <c:crossAx val="153418368"/>
        <c:crosses val="autoZero"/>
        <c:auto val="1"/>
        <c:lblAlgn val="ctr"/>
        <c:lblOffset val="100"/>
        <c:noMultiLvlLbl val="0"/>
      </c:catAx>
      <c:valAx>
        <c:axId val="153418368"/>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crossAx val="153415680"/>
        <c:crossesAt val="1"/>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AR"/>
        </a:p>
      </c:txPr>
    </c:legend>
    <c:plotVisOnly val="1"/>
    <c:dispBlanksAs val="zero"/>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a:noFill/>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dinamicas!5</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Acumulado Cuenta</a:t>
            </a:r>
          </a:p>
          <a:p>
            <a:pPr>
              <a:defRPr sz="1400" b="1" i="0" u="none" strike="noStrike" kern="1200" cap="none" baseline="0">
                <a:solidFill>
                  <a:schemeClr val="lt1">
                    <a:lumMod val="85000"/>
                  </a:schemeClr>
                </a:solidFill>
                <a:latin typeface="+mn-lt"/>
                <a:ea typeface="+mn-ea"/>
                <a:cs typeface="+mn-cs"/>
              </a:defRPr>
            </a:pPr>
            <a:r>
              <a:rPr lang="en-US"/>
              <a:t>Demo</a:t>
            </a:r>
            <a:r>
              <a:rPr lang="en-US" baseline="0"/>
              <a:t> </a:t>
            </a:r>
            <a:r>
              <a:rPr lang="en-US"/>
              <a:t>vs Objetivo</a:t>
            </a:r>
          </a:p>
        </c:rich>
      </c:tx>
      <c:overlay val="0"/>
      <c:spPr>
        <a:noFill/>
        <a:ln>
          <a:noFill/>
        </a:ln>
        <a:effectLst/>
      </c:spPr>
    </c:title>
    <c:autoTitleDeleted val="0"/>
    <c:pivotFmts>
      <c:pivotFmt>
        <c:idx val="0"/>
        <c:dLbl>
          <c:idx val="0"/>
          <c:delete val="1"/>
          <c:extLst xmlns:c16r2="http://schemas.microsoft.com/office/drawing/2015/06/chart">
            <c:ext xmlns:c15="http://schemas.microsoft.com/office/drawing/2012/chart" uri="{CE6537A1-D6FC-4f65-9D91-7224C49458BB}"/>
          </c:extLst>
        </c:dLbl>
      </c:pivotFmt>
      <c:pivotFmt>
        <c:idx val="1"/>
        <c:dLbl>
          <c:idx val="0"/>
          <c:delete val="1"/>
          <c:extLst xmlns:c16r2="http://schemas.microsoft.com/office/drawing/2015/06/chart">
            <c:ext xmlns:c15="http://schemas.microsoft.com/office/drawing/2012/chart" uri="{CE6537A1-D6FC-4f65-9D91-7224C49458BB}"/>
          </c:extLst>
        </c:dLbl>
      </c:pivotFmt>
      <c:pivotFmt>
        <c:idx val="2"/>
        <c:dLbl>
          <c:idx val="0"/>
          <c:delete val="1"/>
          <c:extLst xmlns:c16r2="http://schemas.microsoft.com/office/drawing/2015/06/chart">
            <c:ext xmlns:c15="http://schemas.microsoft.com/office/drawing/2012/chart" uri="{CE6537A1-D6FC-4f65-9D91-7224C49458BB}"/>
          </c:extLst>
        </c:dLbl>
      </c:pivotFmt>
      <c:pivotFmt>
        <c:idx val="3"/>
        <c:dLbl>
          <c:idx val="0"/>
          <c:delete val="1"/>
          <c:extLst xmlns:c16r2="http://schemas.microsoft.com/office/drawing/2015/06/chart">
            <c:ext xmlns:c15="http://schemas.microsoft.com/office/drawing/2012/chart" uri="{CE6537A1-D6FC-4f65-9D91-7224C49458BB}"/>
          </c:extLst>
        </c:dLbl>
      </c:pivotFmt>
      <c:pivotFmt>
        <c:idx val="4"/>
        <c:dLbl>
          <c:idx val="0"/>
          <c:delete val="1"/>
          <c:extLst xmlns:c16r2="http://schemas.microsoft.com/office/drawing/2015/06/chart">
            <c:ext xmlns:c15="http://schemas.microsoft.com/office/drawing/2012/chart" uri="{CE6537A1-D6FC-4f65-9D91-7224C49458BB}"/>
          </c:extLst>
        </c:dLbl>
      </c:pivotFmt>
      <c:pivotFmt>
        <c:idx val="5"/>
        <c:dLbl>
          <c:idx val="0"/>
          <c:delete val="1"/>
          <c:extLst xmlns:c16r2="http://schemas.microsoft.com/office/drawing/2015/06/chart">
            <c:ext xmlns:c15="http://schemas.microsoft.com/office/drawing/2012/chart" uri="{CE6537A1-D6FC-4f65-9D91-7224C49458BB}"/>
          </c:extLst>
        </c:dLbl>
      </c:pivotFmt>
      <c:pivotFmt>
        <c:idx val="6"/>
        <c:dLbl>
          <c:idx val="0"/>
          <c:delete val="1"/>
          <c:extLst xmlns:c16r2="http://schemas.microsoft.com/office/drawing/2015/06/chart">
            <c:ext xmlns:c15="http://schemas.microsoft.com/office/drawing/2012/chart" uri="{CE6537A1-D6FC-4f65-9D91-7224C49458BB}"/>
          </c:extLst>
        </c:dLbl>
      </c:pivotFmt>
      <c:pivotFmt>
        <c:idx val="7"/>
        <c:dLbl>
          <c:idx val="0"/>
          <c:delete val="1"/>
          <c:extLst xmlns:c16r2="http://schemas.microsoft.com/office/drawing/2015/06/chart">
            <c:ext xmlns:c15="http://schemas.microsoft.com/office/drawing/2012/chart" uri="{CE6537A1-D6FC-4f65-9D91-7224C49458BB}"/>
          </c:extLst>
        </c:dLbl>
      </c:pivotFmt>
      <c:pivotFmt>
        <c:idx val="8"/>
        <c:dLbl>
          <c:idx val="0"/>
          <c:delete val="1"/>
          <c:extLst xmlns:c16r2="http://schemas.microsoft.com/office/drawing/2015/06/chart">
            <c:ext xmlns:c15="http://schemas.microsoft.com/office/drawing/2012/chart" uri="{CE6537A1-D6FC-4f65-9D91-7224C49458BB}"/>
          </c:extLst>
        </c:dLbl>
      </c:pivotFmt>
      <c:pivotFmt>
        <c:idx val="9"/>
        <c:dLbl>
          <c:idx val="0"/>
          <c:delete val="1"/>
          <c:extLst xmlns:c16r2="http://schemas.microsoft.com/office/drawing/2015/06/chart">
            <c:ext xmlns:c15="http://schemas.microsoft.com/office/drawing/2012/chart" uri="{CE6537A1-D6FC-4f65-9D91-7224C49458BB}"/>
          </c:extLst>
        </c:dLbl>
      </c:pivotFmt>
      <c:pivotFmt>
        <c:idx val="10"/>
        <c:dLbl>
          <c:idx val="0"/>
          <c:delete val="1"/>
          <c:extLst xmlns:c16r2="http://schemas.microsoft.com/office/drawing/2015/06/chart">
            <c:ext xmlns:c15="http://schemas.microsoft.com/office/drawing/2012/chart" uri="{CE6537A1-D6FC-4f65-9D91-7224C49458BB}"/>
          </c:extLst>
        </c:dLbl>
      </c:pivotFmt>
      <c:pivotFmt>
        <c:idx val="11"/>
        <c:dLbl>
          <c:idx val="0"/>
          <c:delete val="1"/>
          <c:extLst xmlns:c16r2="http://schemas.microsoft.com/office/drawing/2015/06/chart">
            <c:ext xmlns:c15="http://schemas.microsoft.com/office/drawing/2012/chart" uri="{CE6537A1-D6FC-4f65-9D91-7224C49458BB}"/>
          </c:extLst>
        </c:dLbl>
      </c:pivotFmt>
      <c:pivotFmt>
        <c:idx val="12"/>
        <c:dLbl>
          <c:idx val="0"/>
          <c:delete val="1"/>
          <c:extLst xmlns:c16r2="http://schemas.microsoft.com/office/drawing/2015/06/chart">
            <c:ext xmlns:c15="http://schemas.microsoft.com/office/drawing/2012/chart" uri="{CE6537A1-D6FC-4f65-9D91-7224C49458BB}"/>
          </c:extLst>
        </c:dLbl>
      </c:pivotFmt>
      <c:pivotFmt>
        <c:idx val="13"/>
        <c:dLbl>
          <c:idx val="0"/>
          <c:delete val="1"/>
          <c:extLst xmlns:c16r2="http://schemas.microsoft.com/office/drawing/2015/06/chart">
            <c:ext xmlns:c15="http://schemas.microsoft.com/office/drawing/2012/chart" uri="{CE6537A1-D6FC-4f65-9D91-7224C49458BB}"/>
          </c:extLst>
        </c:dLbl>
      </c:pivotFmt>
      <c:pivotFmt>
        <c:idx val="14"/>
        <c:dLbl>
          <c:idx val="0"/>
          <c:delete val="1"/>
          <c:extLst xmlns:c16r2="http://schemas.microsoft.com/office/drawing/2015/06/chart">
            <c:ext xmlns:c15="http://schemas.microsoft.com/office/drawing/2012/chart" uri="{CE6537A1-D6FC-4f65-9D91-7224C49458BB}"/>
          </c:extLst>
        </c:dLbl>
      </c:pivotFmt>
      <c:pivotFmt>
        <c:idx val="15"/>
        <c:dLbl>
          <c:idx val="0"/>
          <c:delete val="1"/>
          <c:extLst xmlns:c16r2="http://schemas.microsoft.com/office/drawing/2015/06/chart">
            <c:ext xmlns:c15="http://schemas.microsoft.com/office/drawing/2012/chart" uri="{CE6537A1-D6FC-4f65-9D91-7224C49458BB}"/>
          </c:extLst>
        </c:dLbl>
      </c:pivotFmt>
      <c:pivotFmt>
        <c:idx val="16"/>
        <c:dLbl>
          <c:idx val="0"/>
          <c:delete val="1"/>
          <c:extLst xmlns:c16r2="http://schemas.microsoft.com/office/drawing/2015/06/chart">
            <c:ext xmlns:c15="http://schemas.microsoft.com/office/drawing/2012/chart" uri="{CE6537A1-D6FC-4f65-9D91-7224C49458BB}"/>
          </c:extLst>
        </c:dLbl>
      </c:pivotFmt>
      <c:pivotFmt>
        <c:idx val="17"/>
        <c:dLbl>
          <c:idx val="0"/>
          <c:delete val="1"/>
          <c:extLst xmlns:c16r2="http://schemas.microsoft.com/office/drawing/2015/06/chart">
            <c:ext xmlns:c15="http://schemas.microsoft.com/office/drawing/2012/chart" uri="{CE6537A1-D6FC-4f65-9D91-7224C49458BB}"/>
          </c:extLst>
        </c:dLbl>
      </c:pivotFmt>
      <c:pivotFmt>
        <c:idx val="18"/>
        <c:dLbl>
          <c:idx val="0"/>
          <c:delete val="1"/>
          <c:extLst xmlns:c16r2="http://schemas.microsoft.com/office/drawing/2015/06/chart">
            <c:ext xmlns:c15="http://schemas.microsoft.com/office/drawing/2012/chart" uri="{CE6537A1-D6FC-4f65-9D91-7224C49458BB}"/>
          </c:extLst>
        </c:dLbl>
      </c:pivotFmt>
      <c:pivotFmt>
        <c:idx val="19"/>
        <c:dLbl>
          <c:idx val="0"/>
          <c:delete val="1"/>
          <c:extLst xmlns:c16r2="http://schemas.microsoft.com/office/drawing/2015/06/chart">
            <c:ext xmlns:c15="http://schemas.microsoft.com/office/drawing/2012/chart" uri="{CE6537A1-D6FC-4f65-9D91-7224C49458BB}"/>
          </c:extLst>
        </c:dLbl>
      </c:pivotFmt>
      <c:pivotFmt>
        <c:idx val="20"/>
        <c:dLbl>
          <c:idx val="0"/>
          <c:delete val="1"/>
          <c:extLst xmlns:c16r2="http://schemas.microsoft.com/office/drawing/2015/06/chart">
            <c:ext xmlns:c15="http://schemas.microsoft.com/office/drawing/2012/chart" uri="{CE6537A1-D6FC-4f65-9D91-7224C49458BB}"/>
          </c:extLst>
        </c:dLbl>
      </c:pivotFmt>
      <c:pivotFmt>
        <c:idx val="21"/>
        <c:dLbl>
          <c:idx val="0"/>
          <c:delete val="1"/>
          <c:extLst xmlns:c16r2="http://schemas.microsoft.com/office/drawing/2015/06/chart">
            <c:ext xmlns:c15="http://schemas.microsoft.com/office/drawing/2012/chart" uri="{CE6537A1-D6FC-4f65-9D91-7224C49458BB}"/>
          </c:extLst>
        </c:dLbl>
      </c:pivotFmt>
      <c:pivotFmt>
        <c:idx val="22"/>
        <c:dLbl>
          <c:idx val="0"/>
          <c:delete val="1"/>
          <c:extLst xmlns:c16r2="http://schemas.microsoft.com/office/drawing/2015/06/chart">
            <c:ext xmlns:c15="http://schemas.microsoft.com/office/drawing/2012/chart" uri="{CE6537A1-D6FC-4f65-9D91-7224C49458BB}"/>
          </c:extLst>
        </c:dLbl>
      </c:pivotFmt>
      <c:pivotFmt>
        <c:idx val="23"/>
        <c:dLbl>
          <c:idx val="0"/>
          <c:delete val="1"/>
          <c:extLst xmlns:c16r2="http://schemas.microsoft.com/office/drawing/2015/06/chart">
            <c:ext xmlns:c15="http://schemas.microsoft.com/office/drawing/2012/chart" uri="{CE6537A1-D6FC-4f65-9D91-7224C49458BB}"/>
          </c:extLst>
        </c:dLbl>
      </c:pivotFmt>
      <c:pivotFmt>
        <c:idx val="24"/>
        <c:dLbl>
          <c:idx val="0"/>
          <c:delete val="1"/>
          <c:extLst xmlns:c16r2="http://schemas.microsoft.com/office/drawing/2015/06/chart">
            <c:ext xmlns:c15="http://schemas.microsoft.com/office/drawing/2012/chart" uri="{CE6537A1-D6FC-4f65-9D91-7224C49458BB}"/>
          </c:extLst>
        </c:dLbl>
      </c:pivotFmt>
      <c:pivotFmt>
        <c:idx val="25"/>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6"/>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ct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2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layout>
            <c:manualLayout>
              <c:x val="-0.11801505003672338"/>
              <c:y val="-6.2232053409270243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6.2311319116713025E-2"/>
                  <c:h val="2.8061315683698122E-2"/>
                </c:manualLayout>
              </c15:layout>
            </c:ext>
          </c:extLst>
        </c:dLbl>
      </c:pivotFmt>
      <c:pivotFmt>
        <c:idx val="2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layout>
            <c:manualLayout>
              <c:x val="2.9087427696832084E-3"/>
              <c:y val="2.346275566002890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15:layout>
                <c:manualLayout>
                  <c:w val="6.2311319116713025E-2"/>
                  <c:h val="2.8061315683698122E-2"/>
                </c:manualLayout>
              </c15:layout>
            </c:ext>
          </c:extLst>
        </c:dLbl>
      </c:pivotFmt>
      <c:pivotFmt>
        <c:idx val="29"/>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layout>
            <c:manualLayout>
              <c:x val="7.966743996657373E-3"/>
              <c:y val="-2.388475655460098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0"/>
        <c:spPr>
          <a:noFill/>
          <a:ln w="22225" cap="rnd" cmpd="sng" algn="ctr">
            <a:solidFill>
              <a:schemeClr val="accent2"/>
            </a:solidFill>
            <a:miter lim="800000"/>
          </a:ln>
          <a:effectLst>
            <a:glow rad="139700">
              <a:schemeClr val="accent2">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layout>
            <c:manualLayout>
              <c:x val="-3.4712241699721411E-2"/>
              <c:y val="7.150315441983565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3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7"/>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8"/>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39"/>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40"/>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41"/>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42"/>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43"/>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44"/>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45"/>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46"/>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47"/>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48"/>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49"/>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5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5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52"/>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53"/>
      </c:pivotFmt>
      <c:pivotFmt>
        <c:idx val="54"/>
      </c:pivotFmt>
      <c:pivotFmt>
        <c:idx val="55"/>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
        <c:idx val="56"/>
        <c:marker>
          <c:symbol val="circle"/>
          <c:size val="4"/>
          <c:spPr>
            <a:solidFill>
              <a:schemeClr val="accent1">
                <a:lumMod val="60000"/>
                <a:lumOff val="40000"/>
              </a:schemeClr>
            </a:solidFill>
            <a:ln>
              <a:noFill/>
            </a:ln>
            <a:effectLst>
              <a:glow rad="63500">
                <a:schemeClr val="accent1">
                  <a:satMod val="175000"/>
                  <a:alpha val="25000"/>
                </a:schemeClr>
              </a:glow>
            </a:effectLst>
          </c:spPr>
        </c:marker>
      </c:pivotFmt>
    </c:pivotFmts>
    <c:plotArea>
      <c:layout/>
      <c:lineChart>
        <c:grouping val="standard"/>
        <c:varyColors val="0"/>
        <c:ser>
          <c:idx val="0"/>
          <c:order val="0"/>
          <c:tx>
            <c:strRef>
              <c:f>'Tablas dinamicas'!$Q$50</c:f>
              <c:strCache>
                <c:ptCount val="1"/>
                <c:pt idx="0">
                  <c:v>Suma de Total Cuenta Real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Pt>
            <c:idx val="0"/>
            <c:bubble3D val="0"/>
            <c:extLst xmlns:c16r2="http://schemas.microsoft.com/office/drawing/2015/06/chart">
              <c:ext xmlns:c16="http://schemas.microsoft.com/office/drawing/2014/chart" uri="{C3380CC4-5D6E-409C-BE32-E72D297353CC}">
                <c16:uniqueId val="{00000000-3568-4835-9C92-2D8096C18E8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ctr"/>
            <c:showLegendKey val="0"/>
            <c:showVal val="1"/>
            <c:showCatName val="0"/>
            <c:showSerName val="0"/>
            <c:showPercent val="0"/>
            <c:showBubbleSize val="0"/>
            <c:showLeaderLines val="0"/>
          </c:dLbls>
          <c:cat>
            <c:strRef>
              <c:f>'Tablas dinamicas'!$P$51:$P$83</c:f>
              <c:strCache>
                <c:ptCount val="32"/>
                <c:pt idx="0">
                  <c:v>20-Nov</c:v>
                </c:pt>
                <c:pt idx="1">
                  <c:v>21-Nov</c:v>
                </c:pt>
                <c:pt idx="2">
                  <c:v>22-Nov</c:v>
                </c:pt>
                <c:pt idx="3">
                  <c:v>23-Nov</c:v>
                </c:pt>
                <c:pt idx="4">
                  <c:v>24-Nov</c:v>
                </c:pt>
                <c:pt idx="5">
                  <c:v>25-Nov</c:v>
                </c:pt>
                <c:pt idx="6">
                  <c:v>26-Nov</c:v>
                </c:pt>
                <c:pt idx="7">
                  <c:v>27-Nov</c:v>
                </c:pt>
                <c:pt idx="8">
                  <c:v>28-Nov</c:v>
                </c:pt>
                <c:pt idx="9">
                  <c:v>29-Nov</c:v>
                </c:pt>
                <c:pt idx="10">
                  <c:v>30-Nov</c:v>
                </c:pt>
                <c:pt idx="11">
                  <c:v>1-Dec</c:v>
                </c:pt>
                <c:pt idx="12">
                  <c:v>2-Dec</c:v>
                </c:pt>
                <c:pt idx="13">
                  <c:v>3-Dec</c:v>
                </c:pt>
                <c:pt idx="14">
                  <c:v>4-Dec</c:v>
                </c:pt>
                <c:pt idx="15">
                  <c:v>5-Dec</c:v>
                </c:pt>
                <c:pt idx="16">
                  <c:v>6-Dec</c:v>
                </c:pt>
                <c:pt idx="17">
                  <c:v>7-Dec</c:v>
                </c:pt>
                <c:pt idx="18">
                  <c:v>8-Dec</c:v>
                </c:pt>
                <c:pt idx="19">
                  <c:v>9-Dec</c:v>
                </c:pt>
                <c:pt idx="20">
                  <c:v>10-Dec</c:v>
                </c:pt>
                <c:pt idx="21">
                  <c:v>11-Dec</c:v>
                </c:pt>
                <c:pt idx="22">
                  <c:v>12-Dec</c:v>
                </c:pt>
                <c:pt idx="23">
                  <c:v>13-Dec</c:v>
                </c:pt>
                <c:pt idx="24">
                  <c:v>14-Dec</c:v>
                </c:pt>
                <c:pt idx="25">
                  <c:v>15-Dec</c:v>
                </c:pt>
                <c:pt idx="26">
                  <c:v>16-Dec</c:v>
                </c:pt>
                <c:pt idx="27">
                  <c:v>17-Dec</c:v>
                </c:pt>
                <c:pt idx="28">
                  <c:v>18-Dec</c:v>
                </c:pt>
                <c:pt idx="29">
                  <c:v>19-Dec</c:v>
                </c:pt>
                <c:pt idx="30">
                  <c:v>20-Dec</c:v>
                </c:pt>
                <c:pt idx="31">
                  <c:v>21-Dec</c:v>
                </c:pt>
              </c:strCache>
            </c:strRef>
          </c:cat>
          <c:val>
            <c:numRef>
              <c:f>'Tablas dinamicas'!$Q$51:$Q$83</c:f>
              <c:numCache>
                <c:formatCode>0</c:formatCode>
                <c:ptCount val="32"/>
                <c:pt idx="0">
                  <c:v>1199</c:v>
                </c:pt>
                <c:pt idx="1">
                  <c:v>1199</c:v>
                </c:pt>
                <c:pt idx="2">
                  <c:v>1199</c:v>
                </c:pt>
                <c:pt idx="3">
                  <c:v>1228.2</c:v>
                </c:pt>
                <c:pt idx="4">
                  <c:v>1271.6000000000001</c:v>
                </c:pt>
                <c:pt idx="5">
                  <c:v>1279.3000000000004</c:v>
                </c:pt>
                <c:pt idx="6">
                  <c:v>1279.3000000000004</c:v>
                </c:pt>
                <c:pt idx="7">
                  <c:v>1287.9999999999998</c:v>
                </c:pt>
                <c:pt idx="8">
                  <c:v>1287.9999999999998</c:v>
                </c:pt>
                <c:pt idx="9">
                  <c:v>1287.9999999999998</c:v>
                </c:pt>
                <c:pt idx="10">
                  <c:v>1246.3999999999999</c:v>
                </c:pt>
                <c:pt idx="11">
                  <c:v>1264.7000000000007</c:v>
                </c:pt>
                <c:pt idx="12">
                  <c:v>1264.4000000000015</c:v>
                </c:pt>
                <c:pt idx="13">
                  <c:v>1217.2000000000016</c:v>
                </c:pt>
                <c:pt idx="14">
                  <c:v>1216.9000000000012</c:v>
                </c:pt>
                <c:pt idx="15">
                  <c:v>1216.9000000000012</c:v>
                </c:pt>
                <c:pt idx="16">
                  <c:v>1216.9000000000012</c:v>
                </c:pt>
                <c:pt idx="17">
                  <c:v>1216.9000000000012</c:v>
                </c:pt>
                <c:pt idx="18">
                  <c:v>1216.9000000000012</c:v>
                </c:pt>
                <c:pt idx="19">
                  <c:v>1230.900000000003</c:v>
                </c:pt>
                <c:pt idx="20">
                  <c:v>1257.0000000000032</c:v>
                </c:pt>
                <c:pt idx="21">
                  <c:v>1242.5000000000025</c:v>
                </c:pt>
                <c:pt idx="22">
                  <c:v>1242.5000000000025</c:v>
                </c:pt>
                <c:pt idx="23">
                  <c:v>1242.5000000000025</c:v>
                </c:pt>
                <c:pt idx="24">
                  <c:v>1242.5000000000025</c:v>
                </c:pt>
                <c:pt idx="25">
                  <c:v>1242.5000000000025</c:v>
                </c:pt>
                <c:pt idx="26">
                  <c:v>1242.5000000000025</c:v>
                </c:pt>
                <c:pt idx="27">
                  <c:v>1242.5000000000025</c:v>
                </c:pt>
                <c:pt idx="28">
                  <c:v>1242.5000000000025</c:v>
                </c:pt>
                <c:pt idx="29">
                  <c:v>1242.5000000000025</c:v>
                </c:pt>
                <c:pt idx="30">
                  <c:v>11578.500000000004</c:v>
                </c:pt>
                <c:pt idx="31">
                  <c:v>11578.500000000004</c:v>
                </c:pt>
              </c:numCache>
            </c:numRef>
          </c:val>
          <c:smooth val="0"/>
          <c:extLst xmlns:c16r2="http://schemas.microsoft.com/office/drawing/2015/06/chart">
            <c:ext xmlns:c16="http://schemas.microsoft.com/office/drawing/2014/chart" uri="{C3380CC4-5D6E-409C-BE32-E72D297353CC}">
              <c16:uniqueId val="{00000000-5D78-4E5A-AAD4-DAED9A3ADD2E}"/>
            </c:ext>
          </c:extLst>
        </c:ser>
        <c:ser>
          <c:idx val="1"/>
          <c:order val="1"/>
          <c:tx>
            <c:strRef>
              <c:f>'Tablas dinamicas'!$R$50</c:f>
              <c:strCache>
                <c:ptCount val="1"/>
                <c:pt idx="0">
                  <c:v>Suma de Cuenta mas Objetivo</c:v>
                </c:pt>
              </c:strCache>
            </c:strRef>
          </c:tx>
          <c:spPr>
            <a:ln w="22225" cap="rnd">
              <a:solidFill>
                <a:schemeClr val="accent2"/>
              </a:solidFill>
            </a:ln>
            <a:effectLst>
              <a:glow rad="139700">
                <a:schemeClr val="accent2">
                  <a:satMod val="175000"/>
                  <a:alpha val="14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Pt>
            <c:idx val="0"/>
            <c:bubble3D val="0"/>
            <c:extLst xmlns:c16r2="http://schemas.microsoft.com/office/drawing/2015/06/chart">
              <c:ext xmlns:c16="http://schemas.microsoft.com/office/drawing/2014/chart" uri="{C3380CC4-5D6E-409C-BE32-E72D297353CC}">
                <c16:uniqueId val="{00000002-3568-4835-9C92-2D8096C18E8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s-AR"/>
              </a:p>
            </c:txPr>
            <c:dLblPos val="ctr"/>
            <c:showLegendKey val="0"/>
            <c:showVal val="1"/>
            <c:showCatName val="0"/>
            <c:showSerName val="0"/>
            <c:showPercent val="0"/>
            <c:showBubbleSize val="0"/>
            <c:showLeaderLines val="0"/>
          </c:dLbls>
          <c:cat>
            <c:strRef>
              <c:f>'Tablas dinamicas'!$P$51:$P$83</c:f>
              <c:strCache>
                <c:ptCount val="32"/>
                <c:pt idx="0">
                  <c:v>20-Nov</c:v>
                </c:pt>
                <c:pt idx="1">
                  <c:v>21-Nov</c:v>
                </c:pt>
                <c:pt idx="2">
                  <c:v>22-Nov</c:v>
                </c:pt>
                <c:pt idx="3">
                  <c:v>23-Nov</c:v>
                </c:pt>
                <c:pt idx="4">
                  <c:v>24-Nov</c:v>
                </c:pt>
                <c:pt idx="5">
                  <c:v>25-Nov</c:v>
                </c:pt>
                <c:pt idx="6">
                  <c:v>26-Nov</c:v>
                </c:pt>
                <c:pt idx="7">
                  <c:v>27-Nov</c:v>
                </c:pt>
                <c:pt idx="8">
                  <c:v>28-Nov</c:v>
                </c:pt>
                <c:pt idx="9">
                  <c:v>29-Nov</c:v>
                </c:pt>
                <c:pt idx="10">
                  <c:v>30-Nov</c:v>
                </c:pt>
                <c:pt idx="11">
                  <c:v>1-Dec</c:v>
                </c:pt>
                <c:pt idx="12">
                  <c:v>2-Dec</c:v>
                </c:pt>
                <c:pt idx="13">
                  <c:v>3-Dec</c:v>
                </c:pt>
                <c:pt idx="14">
                  <c:v>4-Dec</c:v>
                </c:pt>
                <c:pt idx="15">
                  <c:v>5-Dec</c:v>
                </c:pt>
                <c:pt idx="16">
                  <c:v>6-Dec</c:v>
                </c:pt>
                <c:pt idx="17">
                  <c:v>7-Dec</c:v>
                </c:pt>
                <c:pt idx="18">
                  <c:v>8-Dec</c:v>
                </c:pt>
                <c:pt idx="19">
                  <c:v>9-Dec</c:v>
                </c:pt>
                <c:pt idx="20">
                  <c:v>10-Dec</c:v>
                </c:pt>
                <c:pt idx="21">
                  <c:v>11-Dec</c:v>
                </c:pt>
                <c:pt idx="22">
                  <c:v>12-Dec</c:v>
                </c:pt>
                <c:pt idx="23">
                  <c:v>13-Dec</c:v>
                </c:pt>
                <c:pt idx="24">
                  <c:v>14-Dec</c:v>
                </c:pt>
                <c:pt idx="25">
                  <c:v>15-Dec</c:v>
                </c:pt>
                <c:pt idx="26">
                  <c:v>16-Dec</c:v>
                </c:pt>
                <c:pt idx="27">
                  <c:v>17-Dec</c:v>
                </c:pt>
                <c:pt idx="28">
                  <c:v>18-Dec</c:v>
                </c:pt>
                <c:pt idx="29">
                  <c:v>19-Dec</c:v>
                </c:pt>
                <c:pt idx="30">
                  <c:v>20-Dec</c:v>
                </c:pt>
                <c:pt idx="31">
                  <c:v>21-Dec</c:v>
                </c:pt>
              </c:strCache>
            </c:strRef>
          </c:cat>
          <c:val>
            <c:numRef>
              <c:f>'Tablas dinamicas'!$R$51:$R$83</c:f>
              <c:numCache>
                <c:formatCode>0</c:formatCode>
                <c:ptCount val="32"/>
                <c:pt idx="0">
                  <c:v>1249</c:v>
                </c:pt>
                <c:pt idx="1">
                  <c:v>1249</c:v>
                </c:pt>
                <c:pt idx="2">
                  <c:v>1249</c:v>
                </c:pt>
                <c:pt idx="3">
                  <c:v>1299</c:v>
                </c:pt>
                <c:pt idx="4">
                  <c:v>1349</c:v>
                </c:pt>
                <c:pt idx="5">
                  <c:v>1399</c:v>
                </c:pt>
                <c:pt idx="6">
                  <c:v>1399</c:v>
                </c:pt>
                <c:pt idx="7">
                  <c:v>1449</c:v>
                </c:pt>
                <c:pt idx="8">
                  <c:v>1449</c:v>
                </c:pt>
                <c:pt idx="9">
                  <c:v>1449</c:v>
                </c:pt>
                <c:pt idx="10">
                  <c:v>1499</c:v>
                </c:pt>
                <c:pt idx="11">
                  <c:v>1549</c:v>
                </c:pt>
                <c:pt idx="12">
                  <c:v>1599</c:v>
                </c:pt>
                <c:pt idx="13">
                  <c:v>1649</c:v>
                </c:pt>
                <c:pt idx="14">
                  <c:v>1699</c:v>
                </c:pt>
                <c:pt idx="15">
                  <c:v>1699</c:v>
                </c:pt>
                <c:pt idx="16">
                  <c:v>1699</c:v>
                </c:pt>
                <c:pt idx="17">
                  <c:v>1699</c:v>
                </c:pt>
                <c:pt idx="18">
                  <c:v>1699</c:v>
                </c:pt>
                <c:pt idx="19">
                  <c:v>1749</c:v>
                </c:pt>
                <c:pt idx="20">
                  <c:v>1799</c:v>
                </c:pt>
                <c:pt idx="21">
                  <c:v>1849</c:v>
                </c:pt>
                <c:pt idx="22">
                  <c:v>1849</c:v>
                </c:pt>
                <c:pt idx="23">
                  <c:v>1849</c:v>
                </c:pt>
                <c:pt idx="24">
                  <c:v>1849</c:v>
                </c:pt>
                <c:pt idx="25">
                  <c:v>1849</c:v>
                </c:pt>
                <c:pt idx="26">
                  <c:v>1849</c:v>
                </c:pt>
                <c:pt idx="27">
                  <c:v>1849</c:v>
                </c:pt>
                <c:pt idx="28">
                  <c:v>1849</c:v>
                </c:pt>
                <c:pt idx="29">
                  <c:v>1849</c:v>
                </c:pt>
                <c:pt idx="30">
                  <c:v>1849</c:v>
                </c:pt>
                <c:pt idx="31">
                  <c:v>1849</c:v>
                </c:pt>
              </c:numCache>
            </c:numRef>
          </c:val>
          <c:smooth val="0"/>
          <c:extLst xmlns:c16r2="http://schemas.microsoft.com/office/drawing/2015/06/chart">
            <c:ext xmlns:c16="http://schemas.microsoft.com/office/drawing/2014/chart" uri="{C3380CC4-5D6E-409C-BE32-E72D297353CC}">
              <c16:uniqueId val="{00000001-5D78-4E5A-AAD4-DAED9A3ADD2E}"/>
            </c:ext>
          </c:extLst>
        </c:ser>
        <c:dLbls>
          <c:dLblPos val="ctr"/>
          <c:showLegendKey val="0"/>
          <c:showVal val="1"/>
          <c:showCatName val="0"/>
          <c:showSerName val="0"/>
          <c:showPercent val="0"/>
          <c:showBubbleSize val="0"/>
        </c:dLbls>
        <c:marker val="1"/>
        <c:smooth val="0"/>
        <c:axId val="136923776"/>
        <c:axId val="136925568"/>
      </c:lineChart>
      <c:catAx>
        <c:axId val="13692377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36925568"/>
        <c:crosses val="autoZero"/>
        <c:auto val="1"/>
        <c:lblAlgn val="ctr"/>
        <c:lblOffset val="100"/>
        <c:noMultiLvlLbl val="0"/>
      </c:catAx>
      <c:valAx>
        <c:axId val="136925568"/>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3692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AR"/>
  <c:roundedCorners val="0"/>
  <mc:AlternateContent xmlns:mc="http://schemas.openxmlformats.org/markup-compatibility/2006">
    <mc:Choice xmlns:c14="http://schemas.microsoft.com/office/drawing/2007/8/2/chart" Requires="c14">
      <c14:style val="102"/>
    </mc:Choice>
    <mc:Fallback>
      <c:style val="2"/>
    </mc:Fallback>
  </mc:AlternateContent>
  <c:pivotSource>
    <c:name>[1. Bitácora Micro Russell - Drone - Baudelio - V.1.0.xlsm]Tablas dinamicas!TablaDinámica1</c:name>
    <c:fmtId val="2"/>
  </c:pivotSource>
  <c:chart>
    <c:title>
      <c:tx>
        <c:rich>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r>
              <a:rPr lang="en-US"/>
              <a:t>Estrategias</a:t>
            </a:r>
            <a:r>
              <a:rPr lang="en-US" baseline="0"/>
              <a:t> positivas</a:t>
            </a:r>
            <a:endParaRPr lang="en-US"/>
          </a:p>
        </c:rich>
      </c:tx>
      <c:overlay val="0"/>
      <c:spPr>
        <a:noFill/>
        <a:ln>
          <a:noFill/>
        </a:ln>
        <a:effectLst/>
      </c:sp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circle"/>
          <c:size val="6"/>
          <c:spPr>
            <a:solidFill>
              <a:schemeClr val="accent1"/>
            </a:solidFill>
            <a:ln w="9525">
              <a:solidFill>
                <a:schemeClr val="dk1">
                  <a:lumMod val="75000"/>
                  <a:lumOff val="25000"/>
                </a:schemeClr>
              </a:solidFill>
            </a:ln>
            <a:effectLst/>
          </c:spPr>
        </c:marker>
        <c:dLbl>
          <c:idx val="0"/>
          <c:spPr>
            <a:solidFill>
              <a:srgbClr val="4472C4">
                <a:alpha val="30000"/>
              </a:srgbClr>
            </a:solidFill>
            <a:ln>
              <a:solidFill>
                <a:srgbClr val="FFFFFF">
                  <a:alpha val="50000"/>
                </a:srgb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1"/>
        <c:spPr>
          <a:solidFill>
            <a:schemeClr val="accent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2"/>
        <c:spPr>
          <a:solidFill>
            <a:schemeClr val="accent3">
              <a:lumMod val="40000"/>
              <a:lumOff val="6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3"/>
        <c:spPr>
          <a:solidFill>
            <a:schemeClr val="accent6">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4"/>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rgbClr val="FFFFFF">
                  <a:alpha val="50000"/>
                </a:srgb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5"/>
        <c:spPr>
          <a:solidFill>
            <a:schemeClr val="accent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6"/>
        <c:spPr>
          <a:solidFill>
            <a:schemeClr val="accent3">
              <a:lumMod val="40000"/>
              <a:lumOff val="6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7"/>
        <c:spPr>
          <a:solidFill>
            <a:schemeClr val="accent6">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8"/>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rgbClr val="FFFFFF">
                  <a:alpha val="50000"/>
                </a:srgb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
        <c:idx val="9"/>
        <c:spPr>
          <a:solidFill>
            <a:schemeClr val="accent2"/>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10"/>
        <c:spPr>
          <a:solidFill>
            <a:schemeClr val="accent3">
              <a:lumMod val="40000"/>
              <a:lumOff val="6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11"/>
        <c:spPr>
          <a:solidFill>
            <a:schemeClr val="accent6">
              <a:lumMod val="60000"/>
              <a:lumOff val="40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pivotFmt>
      <c:pivotFmt>
        <c:idx val="12"/>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A5A5A5">
                <a:alpha val="30000"/>
              </a:srgbClr>
            </a:solidFill>
            <a:ln>
              <a:solidFill>
                <a:srgbClr val="FFFFFF">
                  <a:alpha val="50000"/>
                </a:srgb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showLegendKey val="0"/>
          <c:showVal val="1"/>
          <c:showCatName val="0"/>
          <c:showSerName val="0"/>
          <c:showPercent val="0"/>
          <c:showBubbleSize val="0"/>
          <c:extLst xmlns:c16r2="http://schemas.microsoft.com/office/drawing/2015/06/char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'Tablas dinamicas'!$I$130</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Pt>
            <c:idx val="0"/>
            <c:invertIfNegative val="0"/>
            <c:bubble3D val="0"/>
            <c:extLst xmlns:c16r2="http://schemas.microsoft.com/office/drawing/2015/06/chart">
              <c:ext xmlns:c16="http://schemas.microsoft.com/office/drawing/2014/chart" uri="{C3380CC4-5D6E-409C-BE32-E72D297353CC}">
                <c16:uniqueId val="{00000001-8B9A-44FA-AD4A-48319C23342A}"/>
              </c:ext>
            </c:extLst>
          </c:dPt>
          <c:dLbls>
            <c:spPr>
              <a:solidFill>
                <a:srgbClr val="A5A5A5">
                  <a:alpha val="30000"/>
                </a:srgbClr>
              </a:solidFill>
              <a:ln>
                <a:solidFill>
                  <a:srgbClr val="FFFFFF">
                    <a:alpha val="50000"/>
                  </a:srgb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AR"/>
              </a:p>
            </c:txPr>
            <c:showLegendKey val="0"/>
            <c:showVal val="1"/>
            <c:showCatName val="0"/>
            <c:showSerName val="0"/>
            <c:showPercent val="0"/>
            <c:showBubbleSize val="0"/>
            <c:showLeaderLines val="0"/>
          </c:dLbls>
          <c:cat>
            <c:strRef>
              <c:f>'Tablas dinamicas'!$H$131</c:f>
              <c:strCache>
                <c:ptCount val="1"/>
                <c:pt idx="0">
                  <c:v>Total general</c:v>
                </c:pt>
              </c:strCache>
            </c:strRef>
          </c:cat>
          <c:val>
            <c:numRef>
              <c:f>'Tablas dinamicas'!$I$131</c:f>
              <c:numCache>
                <c:formatCode>General</c:formatCode>
                <c:ptCount val="1"/>
              </c:numCache>
            </c:numRef>
          </c:val>
          <c:extLst xmlns:c16r2="http://schemas.microsoft.com/office/drawing/2015/06/chart">
            <c:ext xmlns:c16="http://schemas.microsoft.com/office/drawing/2014/chart" uri="{C3380CC4-5D6E-409C-BE32-E72D297353CC}">
              <c16:uniqueId val="{00000006-8B9A-44FA-AD4A-48319C23342A}"/>
            </c:ext>
          </c:extLst>
        </c:ser>
        <c:dLbls>
          <c:showLegendKey val="0"/>
          <c:showVal val="1"/>
          <c:showCatName val="0"/>
          <c:showSerName val="0"/>
          <c:showPercent val="0"/>
          <c:showBubbleSize val="0"/>
        </c:dLbls>
        <c:gapWidth val="84"/>
        <c:gapDepth val="53"/>
        <c:shape val="box"/>
        <c:axId val="136979584"/>
        <c:axId val="136982528"/>
        <c:axId val="0"/>
      </c:bar3DChart>
      <c:catAx>
        <c:axId val="1369795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s-AR"/>
          </a:p>
        </c:txPr>
        <c:crossAx val="136982528"/>
        <c:crosses val="autoZero"/>
        <c:auto val="1"/>
        <c:lblAlgn val="ctr"/>
        <c:lblOffset val="100"/>
        <c:noMultiLvlLbl val="0"/>
      </c:catAx>
      <c:valAx>
        <c:axId val="136982528"/>
        <c:scaling>
          <c:orientation val="minMax"/>
        </c:scaling>
        <c:delete val="1"/>
        <c:axPos val="l"/>
        <c:numFmt formatCode="General" sourceLinked="1"/>
        <c:majorTickMark val="out"/>
        <c:minorTickMark val="none"/>
        <c:tickLblPos val="nextTo"/>
        <c:crossAx val="136979584"/>
        <c:crosses val="autoZero"/>
        <c:crossBetween val="between"/>
      </c:valAx>
      <c:spPr>
        <a:noFill/>
        <a:ln>
          <a:noFill/>
        </a:ln>
        <a:effectLst/>
      </c:spPr>
    </c:plotArea>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spPr>
    <a:noFill/>
    <a:ln w="6350" cap="flat" cmpd="sng" algn="ctr">
      <a:noFill/>
      <a:round/>
    </a:ln>
    <a:effectLst/>
  </c:spPr>
  <c:txPr>
    <a:bodyPr/>
    <a:lstStyle/>
    <a:p>
      <a:pPr>
        <a:defRPr/>
      </a:pPr>
      <a:endParaRPr lang="es-AR"/>
    </a:p>
  </c:txPr>
  <c:printSettings>
    <c:headerFooter/>
    <c:pageMargins b="0.75" l="0.7" r="0.7" t="0.75" header="0.3" footer="0.3"/>
    <c:pageSetup/>
  </c:printSettings>
  <c:extLst xmlns:c16r2="http://schemas.microsoft.com/office/drawing/2015/06/chart">
    <c:ext xmlns:c16="http://schemas.microsoft.com/office/drawing/2014/chart" uri="{E28EC0CA-F0BB-4C9C-879D-F8772B89E7AC}">
      <c16:pivotOptions16>
        <c16:showExpandCollapseFieldButtons val="1"/>
      </c16:pivotOptions16>
    </c:ext>
    <c:ext xmlns:c14="http://schemas.microsoft.com/office/drawing/2007/8/2/chart" uri="{781A3756-C4B2-4CAC-9D66-4F8BD8637D16}">
      <c14:pivotOptions>
        <c14:dropZoneFilter val="1"/>
        <c14:dropZoneCategories val="1"/>
        <c14:dropZoneData val="1"/>
      </c14:pivotOptions>
    </c:ext>
  </c:extLst>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0</xdr:col>
      <xdr:colOff>225136</xdr:colOff>
      <xdr:row>0</xdr:row>
      <xdr:rowOff>0</xdr:rowOff>
    </xdr:from>
    <xdr:to>
      <xdr:col>5</xdr:col>
      <xdr:colOff>623454</xdr:colOff>
      <xdr:row>13</xdr:row>
      <xdr:rowOff>47625</xdr:rowOff>
    </xdr:to>
    <xdr:graphicFrame macro="">
      <xdr:nvGraphicFramePr>
        <xdr:cNvPr id="2" name="Gráfico 1">
          <a:extLst>
            <a:ext uri="{FF2B5EF4-FFF2-40B4-BE49-F238E27FC236}">
              <a16:creationId xmlns=""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228599</xdr:colOff>
      <xdr:row>48</xdr:row>
      <xdr:rowOff>9526</xdr:rowOff>
    </xdr:from>
    <xdr:to>
      <xdr:col>5</xdr:col>
      <xdr:colOff>619124</xdr:colOff>
      <xdr:row>61</xdr:row>
      <xdr:rowOff>47625</xdr:rowOff>
    </xdr:to>
    <xdr:graphicFrame macro="">
      <xdr:nvGraphicFramePr>
        <xdr:cNvPr id="3" name="Gráfico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214312</xdr:colOff>
      <xdr:row>80</xdr:row>
      <xdr:rowOff>152400</xdr:rowOff>
    </xdr:from>
    <xdr:to>
      <xdr:col>5</xdr:col>
      <xdr:colOff>695326</xdr:colOff>
      <xdr:row>88</xdr:row>
      <xdr:rowOff>0</xdr:rowOff>
    </xdr:to>
    <xdr:graphicFrame macro="">
      <xdr:nvGraphicFramePr>
        <xdr:cNvPr id="4" name="Gráfico 3">
          <a:extLst>
            <a:ext uri="{FF2B5EF4-FFF2-40B4-BE49-F238E27FC236}">
              <a16:creationId xmlns=""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176213</xdr:colOff>
      <xdr:row>0</xdr:row>
      <xdr:rowOff>1</xdr:rowOff>
    </xdr:from>
    <xdr:to>
      <xdr:col>14</xdr:col>
      <xdr:colOff>2928937</xdr:colOff>
      <xdr:row>16</xdr:row>
      <xdr:rowOff>95251</xdr:rowOff>
    </xdr:to>
    <xdr:graphicFrame macro="">
      <xdr:nvGraphicFramePr>
        <xdr:cNvPr id="5" name="Gráfico 4">
          <a:extLst>
            <a:ext uri="{FF2B5EF4-FFF2-40B4-BE49-F238E27FC236}">
              <a16:creationId xmlns=""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229721</xdr:colOff>
      <xdr:row>49</xdr:row>
      <xdr:rowOff>23531</xdr:rowOff>
    </xdr:from>
    <xdr:to>
      <xdr:col>14</xdr:col>
      <xdr:colOff>2941544</xdr:colOff>
      <xdr:row>65</xdr:row>
      <xdr:rowOff>23812</xdr:rowOff>
    </xdr:to>
    <xdr:graphicFrame macro="">
      <xdr:nvGraphicFramePr>
        <xdr:cNvPr id="6" name="Gráfico 5">
          <a:extLst>
            <a:ext uri="{FF2B5EF4-FFF2-40B4-BE49-F238E27FC236}">
              <a16:creationId xmlns=""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124665</xdr:colOff>
      <xdr:row>114</xdr:row>
      <xdr:rowOff>145395</xdr:rowOff>
    </xdr:from>
    <xdr:to>
      <xdr:col>14</xdr:col>
      <xdr:colOff>2836488</xdr:colOff>
      <xdr:row>128</xdr:row>
      <xdr:rowOff>71438</xdr:rowOff>
    </xdr:to>
    <xdr:graphicFrame macro="">
      <xdr:nvGraphicFramePr>
        <xdr:cNvPr id="7" name="Gráfico 6">
          <a:extLst>
            <a:ext uri="{FF2B5EF4-FFF2-40B4-BE49-F238E27FC236}">
              <a16:creationId xmlns=""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231632</xdr:colOff>
      <xdr:row>160</xdr:row>
      <xdr:rowOff>31172</xdr:rowOff>
    </xdr:from>
    <xdr:to>
      <xdr:col>14</xdr:col>
      <xdr:colOff>2603585</xdr:colOff>
      <xdr:row>179</xdr:row>
      <xdr:rowOff>95250</xdr:rowOff>
    </xdr:to>
    <xdr:graphicFrame macro="">
      <xdr:nvGraphicFramePr>
        <xdr:cNvPr id="8" name="Gráfico 7">
          <a:extLst>
            <a:ext uri="{FF2B5EF4-FFF2-40B4-BE49-F238E27FC236}">
              <a16:creationId xmlns=""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242455</xdr:colOff>
      <xdr:row>121</xdr:row>
      <xdr:rowOff>152400</xdr:rowOff>
    </xdr:from>
    <xdr:to>
      <xdr:col>5</xdr:col>
      <xdr:colOff>658091</xdr:colOff>
      <xdr:row>137</xdr:row>
      <xdr:rowOff>71437</xdr:rowOff>
    </xdr:to>
    <xdr:graphicFrame macro="">
      <xdr:nvGraphicFramePr>
        <xdr:cNvPr id="9" name="Gráfico 8">
          <a:extLst>
            <a:ext uri="{FF2B5EF4-FFF2-40B4-BE49-F238E27FC236}">
              <a16:creationId xmlns=""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828675</xdr:colOff>
      <xdr:row>2</xdr:row>
      <xdr:rowOff>19050</xdr:rowOff>
    </xdr:from>
    <xdr:to>
      <xdr:col>6</xdr:col>
      <xdr:colOff>304800</xdr:colOff>
      <xdr:row>16</xdr:row>
      <xdr:rowOff>7175</xdr:rowOff>
    </xdr:to>
    <xdr:graphicFrame macro="">
      <xdr:nvGraphicFramePr>
        <xdr:cNvPr id="2" name="q">
          <a:extLst>
            <a:ext uri="{FF2B5EF4-FFF2-40B4-BE49-F238E27FC236}">
              <a16:creationId xmlns=""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828676</xdr:colOff>
      <xdr:row>16</xdr:row>
      <xdr:rowOff>171450</xdr:rowOff>
    </xdr:from>
    <xdr:to>
      <xdr:col>6</xdr:col>
      <xdr:colOff>294410</xdr:colOff>
      <xdr:row>31</xdr:row>
      <xdr:rowOff>54551</xdr:rowOff>
    </xdr:to>
    <xdr:graphicFrame macro="">
      <xdr:nvGraphicFramePr>
        <xdr:cNvPr id="3" name="w">
          <a:extLst>
            <a:ext uri="{FF2B5EF4-FFF2-40B4-BE49-F238E27FC236}">
              <a16:creationId xmlns=""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xdr:colOff>
      <xdr:row>2</xdr:row>
      <xdr:rowOff>68035</xdr:rowOff>
    </xdr:from>
    <xdr:to>
      <xdr:col>18</xdr:col>
      <xdr:colOff>277090</xdr:colOff>
      <xdr:row>16</xdr:row>
      <xdr:rowOff>17317</xdr:rowOff>
    </xdr:to>
    <xdr:graphicFrame macro="">
      <xdr:nvGraphicFramePr>
        <xdr:cNvPr id="4" name="y">
          <a:extLst>
            <a:ext uri="{FF2B5EF4-FFF2-40B4-BE49-F238E27FC236}">
              <a16:creationId xmlns=""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27214</xdr:colOff>
      <xdr:row>32</xdr:row>
      <xdr:rowOff>81644</xdr:rowOff>
    </xdr:from>
    <xdr:to>
      <xdr:col>18</xdr:col>
      <xdr:colOff>272144</xdr:colOff>
      <xdr:row>47</xdr:row>
      <xdr:rowOff>110219</xdr:rowOff>
    </xdr:to>
    <xdr:graphicFrame macro="">
      <xdr:nvGraphicFramePr>
        <xdr:cNvPr id="5" name="o">
          <a:extLst>
            <a:ext uri="{FF2B5EF4-FFF2-40B4-BE49-F238E27FC236}">
              <a16:creationId xmlns=""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813955</xdr:colOff>
      <xdr:row>31</xdr:row>
      <xdr:rowOff>155864</xdr:rowOff>
    </xdr:from>
    <xdr:to>
      <xdr:col>6</xdr:col>
      <xdr:colOff>311729</xdr:colOff>
      <xdr:row>47</xdr:row>
      <xdr:rowOff>30360</xdr:rowOff>
    </xdr:to>
    <xdr:graphicFrame macro="">
      <xdr:nvGraphicFramePr>
        <xdr:cNvPr id="7" name="e">
          <a:extLst>
            <a:ext uri="{FF2B5EF4-FFF2-40B4-BE49-F238E27FC236}">
              <a16:creationId xmlns="" xmlns:a16="http://schemas.microsoft.com/office/drawing/2014/main" id="{00000000-0008-0000-0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17319</xdr:colOff>
      <xdr:row>17</xdr:row>
      <xdr:rowOff>-1</xdr:rowOff>
    </xdr:from>
    <xdr:to>
      <xdr:col>18</xdr:col>
      <xdr:colOff>259773</xdr:colOff>
      <xdr:row>31</xdr:row>
      <xdr:rowOff>136071</xdr:rowOff>
    </xdr:to>
    <xdr:graphicFrame macro="">
      <xdr:nvGraphicFramePr>
        <xdr:cNvPr id="9" name="i">
          <a:extLst>
            <a:ext uri="{FF2B5EF4-FFF2-40B4-BE49-F238E27FC236}">
              <a16:creationId xmlns=""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381000</xdr:colOff>
      <xdr:row>7</xdr:row>
      <xdr:rowOff>86593</xdr:rowOff>
    </xdr:from>
    <xdr:to>
      <xdr:col>12</xdr:col>
      <xdr:colOff>675409</xdr:colOff>
      <xdr:row>34</xdr:row>
      <xdr:rowOff>108858</xdr:rowOff>
    </xdr:to>
    <xdr:graphicFrame macro="">
      <xdr:nvGraphicFramePr>
        <xdr:cNvPr id="10" name="t">
          <a:extLst>
            <a:ext uri="{FF2B5EF4-FFF2-40B4-BE49-F238E27FC236}">
              <a16:creationId xmlns="" xmlns:a16="http://schemas.microsoft.com/office/drawing/2014/main" id="{00000000-0008-0000-0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23255</xdr:colOff>
      <xdr:row>0</xdr:row>
      <xdr:rowOff>135700</xdr:rowOff>
    </xdr:from>
    <xdr:to>
      <xdr:col>1</xdr:col>
      <xdr:colOff>83432</xdr:colOff>
      <xdr:row>10</xdr:row>
      <xdr:rowOff>149679</xdr:rowOff>
    </xdr:to>
    <mc:AlternateContent xmlns:mc="http://schemas.openxmlformats.org/markup-compatibility/2006" xmlns:a14="http://schemas.microsoft.com/office/drawing/2010/main">
      <mc:Choice Requires="a14">
        <xdr:graphicFrame macro="">
          <xdr:nvGraphicFramePr>
            <xdr:cNvPr id="14" name="SEMANA">
              <a:extLst>
                <a:ext uri="{FF2B5EF4-FFF2-40B4-BE49-F238E27FC236}">
                  <a16:creationId xmlns=""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SEMANA"/>
            </a:graphicData>
          </a:graphic>
        </xdr:graphicFrame>
      </mc:Choice>
      <mc:Fallback xmlns="">
        <xdr:sp macro="" textlink="">
          <xdr:nvSpPr>
            <xdr:cNvPr id="0" name=""/>
            <xdr:cNvSpPr>
              <a:spLocks noTextEdit="1"/>
            </xdr:cNvSpPr>
          </xdr:nvSpPr>
          <xdr:spPr>
            <a:xfrm>
              <a:off x="23255" y="135700"/>
              <a:ext cx="891450" cy="1745797"/>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editAs="oneCell">
    <xdr:from>
      <xdr:col>18</xdr:col>
      <xdr:colOff>278203</xdr:colOff>
      <xdr:row>0</xdr:row>
      <xdr:rowOff>113558</xdr:rowOff>
    </xdr:from>
    <xdr:to>
      <xdr:col>20</xdr:col>
      <xdr:colOff>444458</xdr:colOff>
      <xdr:row>15</xdr:row>
      <xdr:rowOff>39956</xdr:rowOff>
    </xdr:to>
    <mc:AlternateContent xmlns:mc="http://schemas.openxmlformats.org/markup-compatibility/2006" xmlns:a14="http://schemas.microsoft.com/office/drawing/2010/main">
      <mc:Choice Requires="a14">
        <xdr:graphicFrame macro="">
          <xdr:nvGraphicFramePr>
            <xdr:cNvPr id="15" name="FECHA">
              <a:extLst>
                <a:ext uri="{FF2B5EF4-FFF2-40B4-BE49-F238E27FC236}">
                  <a16:creationId xmlns=""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FECHA"/>
            </a:graphicData>
          </a:graphic>
        </xdr:graphicFrame>
      </mc:Choice>
      <mc:Fallback xmlns="">
        <xdr:sp macro="" textlink="">
          <xdr:nvSpPr>
            <xdr:cNvPr id="0" name=""/>
            <xdr:cNvSpPr>
              <a:spLocks noTextEdit="1"/>
            </xdr:cNvSpPr>
          </xdr:nvSpPr>
          <xdr:spPr>
            <a:xfrm>
              <a:off x="15241112" y="113558"/>
              <a:ext cx="1828801" cy="2524125"/>
            </a:xfrm>
            <a:prstGeom prst="rect">
              <a:avLst/>
            </a:prstGeom>
            <a:solidFill>
              <a:prstClr val="white"/>
            </a:solidFill>
            <a:ln w="1">
              <a:solidFill>
                <a:prstClr val="green"/>
              </a:solidFill>
            </a:ln>
          </xdr:spPr>
          <xdr:txBody>
            <a:bodyPr vertOverflow="clip" horzOverflow="clip"/>
            <a:lstStyle/>
            <a:p>
              <a:r>
                <a:rPr lang="en-US"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twoCellAnchor>
    <xdr:from>
      <xdr:col>7</xdr:col>
      <xdr:colOff>272143</xdr:colOff>
      <xdr:row>3</xdr:row>
      <xdr:rowOff>0</xdr:rowOff>
    </xdr:from>
    <xdr:to>
      <xdr:col>12</xdr:col>
      <xdr:colOff>571500</xdr:colOff>
      <xdr:row>6</xdr:row>
      <xdr:rowOff>95250</xdr:rowOff>
    </xdr:to>
    <xdr:sp macro="" textlink="">
      <xdr:nvSpPr>
        <xdr:cNvPr id="16" name="Rectángulo: esquinas redondeadas 15">
          <a:extLst>
            <a:ext uri="{FF2B5EF4-FFF2-40B4-BE49-F238E27FC236}">
              <a16:creationId xmlns="" xmlns:a16="http://schemas.microsoft.com/office/drawing/2014/main" id="{00000000-0008-0000-0100-000010000000}"/>
            </a:ext>
          </a:extLst>
        </xdr:cNvPr>
        <xdr:cNvSpPr/>
      </xdr:nvSpPr>
      <xdr:spPr>
        <a:xfrm>
          <a:off x="6177643" y="530679"/>
          <a:ext cx="4517571" cy="625928"/>
        </a:xfrm>
        <a:prstGeom prst="roundRect">
          <a:avLst/>
        </a:prstGeom>
        <a:solidFill>
          <a:schemeClr val="accent1"/>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a:t>DASHBOARD</a:t>
          </a:r>
          <a:r>
            <a:rPr lang="en-US" sz="3200" b="1" baseline="0"/>
            <a:t> FUTUROS</a:t>
          </a:r>
          <a:endParaRPr lang="en-US" sz="3200" b="1"/>
        </a:p>
      </xdr:txBody>
    </xdr:sp>
    <xdr:clientData/>
  </xdr:twoCellAnchor>
  <xdr:twoCellAnchor>
    <xdr:from>
      <xdr:col>6</xdr:col>
      <xdr:colOff>775607</xdr:colOff>
      <xdr:row>36</xdr:row>
      <xdr:rowOff>95250</xdr:rowOff>
    </xdr:from>
    <xdr:to>
      <xdr:col>12</xdr:col>
      <xdr:colOff>285750</xdr:colOff>
      <xdr:row>50</xdr:row>
      <xdr:rowOff>89806</xdr:rowOff>
    </xdr:to>
    <xdr:graphicFrame macro="">
      <xdr:nvGraphicFramePr>
        <xdr:cNvPr id="12" name="r">
          <a:extLst>
            <a:ext uri="{FF2B5EF4-FFF2-40B4-BE49-F238E27FC236}">
              <a16:creationId xmlns=""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xdr:from>
          <xdr:col>18</xdr:col>
          <xdr:colOff>333375</xdr:colOff>
          <xdr:row>16</xdr:row>
          <xdr:rowOff>152400</xdr:rowOff>
        </xdr:from>
        <xdr:to>
          <xdr:col>20</xdr:col>
          <xdr:colOff>342900</xdr:colOff>
          <xdr:row>20</xdr:row>
          <xdr:rowOff>152400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AR" sz="1100" b="0" i="0" u="none" strike="noStrike" baseline="0">
                  <a:solidFill>
                    <a:srgbClr val="000000"/>
                  </a:solidFill>
                  <a:latin typeface="Arial"/>
                  <a:cs typeface="Arial"/>
                </a:rPr>
                <a:t>ACTUALIZAR GRAFICOS</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audelio Báez" refreshedDate="44177.647721180554" createdVersion="6" refreshedVersion="4" minRefreshableVersion="3" recordCount="160">
  <cacheSource type="worksheet">
    <worksheetSource name="Tabla1"/>
  </cacheSource>
  <cacheFields count="31">
    <cacheField name="FECHA" numFmtId="16">
      <sharedItems containsSemiMixedTypes="0" containsNonDate="0" containsDate="1" containsString="0" minDate="2020-08-03T00:00:00" maxDate="2020-12-22T00:00:00" count="87">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08-15T00:00:00" u="1"/>
        <d v="2020-09-20T00:00:00" u="1"/>
        <d v="2020-09-13T00:00:00" u="1"/>
        <d v="2020-08-27T00:00:00" u="1"/>
        <d v="2020-09-06T00:00:00" u="1"/>
        <d v="2020-08-20T00:00:00" u="1"/>
        <d v="2020-09-25T00:00:00" u="1"/>
        <d v="2020-08-13T00:00:00" u="1"/>
        <d v="2020-09-18T00:00:00" u="1"/>
        <d v="2020-08-06T00:00:00" u="1"/>
        <d v="2020-09-11T00:00:00" u="1"/>
        <d v="2020-08-25T00:00:00" u="1"/>
        <d v="2020-09-30T00:00:00" u="1"/>
        <d v="2020-09-04T00:00:00" u="1"/>
        <d v="2020-08-18T00:00:00" u="1"/>
        <d v="2020-09-23T00:00:00" u="1"/>
        <d v="2020-08-11T00:00:00" u="1"/>
        <d v="2020-09-16T00:00:00" u="1"/>
        <d v="2020-08-04T00:00:00" u="1"/>
        <d v="2020-09-09T00:00:00" u="1"/>
        <d v="2020-09-28T00:00:00" u="1"/>
        <d v="2020-11-19T00:00:00" u="1"/>
        <d v="2020-09-02T00:00:00" u="1"/>
        <d v="2020-08-16T00:00:00" u="1"/>
        <d v="2020-09-21T00:00:00" u="1"/>
        <d v="2020-09-14T00:00:00" u="1"/>
        <d v="2020-08-28T00:00:00" u="1"/>
        <d v="2020-09-07T00:00:00" u="1"/>
        <d v="2020-08-21T00:00:00" u="1"/>
        <d v="2020-09-26T00:00:00" u="1"/>
        <d v="2020-08-14T00:00:00" u="1"/>
        <d v="2020-09-19T00:00:00" u="1"/>
        <d v="2020-08-07T00:00:00" u="1"/>
        <d v="2020-09-12T00:00:00" u="1"/>
        <d v="2020-08-26T00:00:00" u="1"/>
        <d v="2020-09-05T00:00:00" u="1"/>
        <d v="2020-08-19T00:00:00" u="1"/>
        <d v="2020-09-24T00:00:00" u="1"/>
        <d v="2020-08-12T00:00:00" u="1"/>
        <d v="2020-09-17T00:00:00" u="1"/>
        <d v="2020-08-31T00:00:00" u="1"/>
        <d v="2020-08-05T00:00:00" u="1"/>
        <d v="2020-09-10T00:00:00" u="1"/>
        <d v="2020-08-24T00:00:00" u="1"/>
        <d v="2020-09-29T00:00:00" u="1"/>
        <d v="2020-09-03T00:00:00" u="1"/>
        <d v="2020-08-17T00:00:00" u="1"/>
        <d v="2020-09-22T00:00:00" u="1"/>
        <d v="2020-08-10T00:00:00" u="1"/>
        <d v="2020-09-15T00:00:00" u="1"/>
        <d v="2020-08-03T00:00:00" u="1"/>
        <d v="2020-09-08T00:00:00" u="1"/>
        <d v="2020-09-27T00:00:00" u="1"/>
        <d v="2020-11-18T00:00:00" u="1"/>
        <d v="2020-09-01T00:00:00" u="1"/>
      </sharedItems>
    </cacheField>
    <cacheField name="SEMANA" numFmtId="0">
      <sharedItems containsSemiMixedTypes="0" containsString="0" containsNumber="1" containsInteger="1" minValue="32" maxValue="52" count="15">
        <n v="47"/>
        <n v="48"/>
        <n v="49"/>
        <n v="50"/>
        <n v="51"/>
        <n v="52"/>
        <n v="34" u="1"/>
        <n v="36" u="1"/>
        <n v="38" u="1"/>
        <n v="40" u="1"/>
        <n v="33" u="1"/>
        <n v="35" u="1"/>
        <n v="37" u="1"/>
        <n v="39" u="1"/>
        <n v="32" u="1"/>
      </sharedItems>
    </cacheField>
    <cacheField name="DÍAS" numFmtId="169">
      <sharedItems containsSemiMixedTypes="0" containsNonDate="0" containsDate="1" containsString="0" minDate="2020-08-03T00:00:00" maxDate="2020-12-22T00:00:00" count="87">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08-15T00:00:00" u="1"/>
        <d v="2020-09-20T00:00:00" u="1"/>
        <d v="2020-09-13T00:00:00" u="1"/>
        <d v="2020-08-27T00:00:00" u="1"/>
        <d v="2020-09-06T00:00:00" u="1"/>
        <d v="2020-08-20T00:00:00" u="1"/>
        <d v="2020-09-25T00:00:00" u="1"/>
        <d v="2020-08-13T00:00:00" u="1"/>
        <d v="2020-09-18T00:00:00" u="1"/>
        <d v="2020-08-06T00:00:00" u="1"/>
        <d v="2020-09-11T00:00:00" u="1"/>
        <d v="2020-08-25T00:00:00" u="1"/>
        <d v="2020-09-30T00:00:00" u="1"/>
        <d v="2020-09-04T00:00:00" u="1"/>
        <d v="2020-08-18T00:00:00" u="1"/>
        <d v="2020-09-23T00:00:00" u="1"/>
        <d v="2020-08-11T00:00:00" u="1"/>
        <d v="2020-09-16T00:00:00" u="1"/>
        <d v="2020-08-04T00:00:00" u="1"/>
        <d v="2020-09-09T00:00:00" u="1"/>
        <d v="2020-09-28T00:00:00" u="1"/>
        <d v="2020-11-19T00:00:00" u="1"/>
        <d v="2020-09-02T00:00:00" u="1"/>
        <d v="2020-08-16T00:00:00" u="1"/>
        <d v="2020-09-21T00:00:00" u="1"/>
        <d v="2020-09-14T00:00:00" u="1"/>
        <d v="2020-08-28T00:00:00" u="1"/>
        <d v="2020-09-07T00:00:00" u="1"/>
        <d v="2020-08-21T00:00:00" u="1"/>
        <d v="2020-09-26T00:00:00" u="1"/>
        <d v="2020-08-14T00:00:00" u="1"/>
        <d v="2020-09-19T00:00:00" u="1"/>
        <d v="2020-08-07T00:00:00" u="1"/>
        <d v="2020-09-12T00:00:00" u="1"/>
        <d v="2020-08-26T00:00:00" u="1"/>
        <d v="2020-09-05T00:00:00" u="1"/>
        <d v="2020-08-19T00:00:00" u="1"/>
        <d v="2020-09-24T00:00:00" u="1"/>
        <d v="2020-08-12T00:00:00" u="1"/>
        <d v="2020-09-17T00:00:00" u="1"/>
        <d v="2020-08-31T00:00:00" u="1"/>
        <d v="2020-08-05T00:00:00" u="1"/>
        <d v="2020-09-10T00:00:00" u="1"/>
        <d v="2020-08-24T00:00:00" u="1"/>
        <d v="2020-09-29T00:00:00" u="1"/>
        <d v="2020-09-03T00:00:00" u="1"/>
        <d v="2020-08-17T00:00:00" u="1"/>
        <d v="2020-09-22T00:00:00" u="1"/>
        <d v="2020-08-10T00:00:00" u="1"/>
        <d v="2020-09-15T00:00:00" u="1"/>
        <d v="2020-08-03T00:00:00" u="1"/>
        <d v="2020-09-08T00:00:00" u="1"/>
        <d v="2020-09-27T00:00:00" u="1"/>
        <d v="2020-11-18T00:00:00" u="1"/>
        <d v="2020-09-01T00:00:00" u="1"/>
      </sharedItems>
    </cacheField>
    <cacheField name="N°" numFmtId="0">
      <sharedItems containsString="0" containsBlank="1" containsNumber="1" containsInteger="1" minValue="1" maxValue="30" count="31">
        <n v="1"/>
        <n v="2"/>
        <n v="3"/>
        <n v="4"/>
        <n v="5"/>
        <m/>
        <n v="13" u="1"/>
        <n v="14" u="1"/>
        <n v="15" u="1"/>
        <n v="6" u="1"/>
        <n v="16" u="1"/>
        <n v="17" u="1"/>
        <n v="18" u="1"/>
        <n v="19" u="1"/>
        <n v="7" u="1"/>
        <n v="20" u="1"/>
        <n v="21" u="1"/>
        <n v="22" u="1"/>
        <n v="23" u="1"/>
        <n v="8" u="1"/>
        <n v="24" u="1"/>
        <n v="25" u="1"/>
        <n v="9" u="1"/>
        <n v="26" u="1"/>
        <n v="27" u="1"/>
        <n v="10" u="1"/>
        <n v="28" u="1"/>
        <n v="29" u="1"/>
        <n v="11" u="1"/>
        <n v="30" u="1"/>
        <n v="12" u="1"/>
      </sharedItems>
    </cacheField>
    <cacheField name="TIPO DE OPERACIÓN" numFmtId="0">
      <sharedItems containsBlank="1" count="3">
        <s v="SELL"/>
        <s v="BUY"/>
        <m/>
      </sharedItems>
    </cacheField>
    <cacheField name="HORA DE APERTURA" numFmtId="164">
      <sharedItems containsNonDate="0" containsDate="1" containsString="0" containsBlank="1" minDate="2020-11-20T09:55:05" maxDate="2020-12-11T12:30:20"/>
    </cacheField>
    <cacheField name="PRECIO DE ENTRADA" numFmtId="165">
      <sharedItems containsString="0" containsBlank="1" containsNumber="1" minValue="1769.8" maxValue="1932.2"/>
    </cacheField>
    <cacheField name="ENTRY STRATEGY" numFmtId="165">
      <sharedItems containsNonDate="0" containsBlank="1" count="6">
        <m/>
        <s v="HACIA CLUSTER" u="1"/>
        <s v="CLUSTER A CLUSTER" u="1"/>
        <s v="PRIMERA ROJA" u="1"/>
        <s v="DESDE CLUSTER" u="1"/>
        <s v="LALA" u="1"/>
      </sharedItems>
    </cacheField>
    <cacheField name="HORA DE SALIDA" numFmtId="164">
      <sharedItems containsNonDate="0" containsDate="1" containsString="0" containsBlank="1" minDate="2020-11-20T09:57:38" maxDate="2020-12-11T12:35:17"/>
    </cacheField>
    <cacheField name="PRECIO DE SALIDA" numFmtId="165">
      <sharedItems containsString="0" containsBlank="1" containsNumber="1" minValue="1766.9" maxValue="1929.6"/>
    </cacheField>
    <cacheField name="EXIT REASON" numFmtId="165">
      <sharedItems containsNonDate="0" containsString="0" containsBlank="1"/>
    </cacheField>
    <cacheField name="TIEMPO DE VUELO" numFmtId="20">
      <sharedItems containsSemiMixedTypes="0" containsNonDate="0" containsDate="1" containsString="0" minDate="1899-12-30T00:00:00" maxDate="1899-12-30T00:34:10"/>
    </cacheField>
    <cacheField name="DIFERENCIA EN MONEDA" numFmtId="165">
      <sharedItems containsSemiMixedTypes="0" containsString="0" containsNumber="1" minValue="-5" maxValue="7.2000000000000455"/>
    </cacheField>
    <cacheField name="FACTOR _x000a_CONT.MICRO" numFmtId="165">
      <sharedItems containsString="0" containsBlank="1" containsNumber="1" containsInteger="1" minValue="5" maxValue="5"/>
    </cacheField>
    <cacheField name="N° CONTRATOS" numFmtId="0">
      <sharedItems containsString="0" containsBlank="1" containsNumber="1" containsInteger="1" minValue="1" maxValue="1"/>
    </cacheField>
    <cacheField name="Comision" numFmtId="0">
      <sharedItems containsSemiMixedTypes="0" containsString="0" containsNumber="1" minValue="0" maxValue="1"/>
    </cacheField>
    <cacheField name="FC" numFmtId="1">
      <sharedItems containsBlank="1"/>
    </cacheField>
    <cacheField name="FR" numFmtId="1">
      <sharedItems containsBlank="1"/>
    </cacheField>
    <cacheField name="NE" numFmtId="1">
      <sharedItems containsBlank="1"/>
    </cacheField>
    <cacheField name="BS" numFmtId="167">
      <sharedItems containsBlank="1"/>
    </cacheField>
    <cacheField name="CONSOLIDADO DE TODAS LAS OPERACIONES" numFmtId="166">
      <sharedItems containsSemiMixedTypes="0" containsString="0" containsNumber="1" minValue="-25.8" maxValue="35.20000000000023"/>
    </cacheField>
    <cacheField name="RESULTADO DEL DÍA" numFmtId="0">
      <sharedItems containsString="0" containsBlank="1" containsNumber="1" minValue="-47.199999999999775" maxValue="43.4"/>
    </cacheField>
    <cacheField name="Total Cuenta Real" numFmtId="0">
      <sharedItems containsString="0" containsBlank="1" containsNumber="1" minValue="1199" maxValue="2584"/>
    </cacheField>
    <cacheField name="Cuenta mas Objetivo" numFmtId="0">
      <sharedItems containsString="0" containsBlank="1" containsNumber="1" containsInteger="1" minValue="1249" maxValue="1849"/>
    </cacheField>
    <cacheField name="Perdidad  presupuestada" numFmtId="165">
      <sharedItems containsBlank="1" containsMixedTypes="1" containsNumber="1" containsInteger="1" minValue="10" maxValue="33"/>
    </cacheField>
    <cacheField name="Objetivo presupuestado" numFmtId="0">
      <sharedItems containsBlank="1" containsMixedTypes="1" containsNumber="1" minValue="49.5" maxValue="50"/>
    </cacheField>
    <cacheField name="PF" numFmtId="0">
      <sharedItems containsString="0" containsBlank="1" containsNumber="1" minValue="0" maxValue="9"/>
    </cacheField>
    <cacheField name="AB" numFmtId="0">
      <sharedItems containsBlank="1" containsMixedTypes="1" containsNumber="1" minValue="0" maxValue="1"/>
    </cacheField>
    <cacheField name="Cuenta N° de Operaciones" numFmtId="1">
      <sharedItems containsMixedTypes="1" containsNumber="1" containsInteger="1" minValue="1" maxValue="1"/>
    </cacheField>
    <cacheField name="Total Positivo" numFmtId="166">
      <sharedItems containsMixedTypes="1" containsNumber="1" minValue="9.9999999999909051E-2" maxValue="7.2000000000000455"/>
    </cacheField>
    <cacheField name="Total Negativo" numFmtId="166">
      <sharedItems containsMixedTypes="1" containsNumber="1" minValue="-5" maxValue="-3"/>
    </cacheField>
  </cacheFields>
  <extLst>
    <ext xmlns:x14="http://schemas.microsoft.com/office/spreadsheetml/2009/9/main" uri="{725AE2AE-9491-48be-B2B4-4EB974FC3084}">
      <x14:pivotCacheDefinition pivotCacheId="1775792"/>
    </ext>
  </extLst>
</pivotCacheDefinition>
</file>

<file path=xl/pivotCache/pivotCacheRecords1.xml><?xml version="1.0" encoding="utf-8"?>
<pivotCacheRecords xmlns="http://schemas.openxmlformats.org/spreadsheetml/2006/main" xmlns:r="http://schemas.openxmlformats.org/officeDocument/2006/relationships" count="160">
  <r>
    <x v="0"/>
    <x v="0"/>
    <x v="0"/>
    <x v="0"/>
    <x v="0"/>
    <d v="2020-11-20T09:55:05"/>
    <n v="1769.8"/>
    <x v="0"/>
    <d v="2020-11-20T09:57:38"/>
    <n v="1766.9"/>
    <m/>
    <d v="1899-12-30T00:02:33"/>
    <n v="2.8999999999998636"/>
    <n v="5"/>
    <n v="1"/>
    <n v="0.8"/>
    <m/>
    <m/>
    <m/>
    <m/>
    <n v="13.699999999999317"/>
    <n v="12.699999999999317"/>
    <n v="1199"/>
    <n v="1249"/>
    <n v="10"/>
    <n v="50"/>
    <n v="2.8999999999998636"/>
    <n v="0.5"/>
    <n v="1"/>
    <n v="2.8999999999998636"/>
    <s v=""/>
  </r>
  <r>
    <x v="0"/>
    <x v="0"/>
    <x v="0"/>
    <x v="1"/>
    <x v="1"/>
    <d v="2020-11-20T11:09:16"/>
    <n v="1775.1"/>
    <x v="0"/>
    <d v="2020-11-20T11:18:34"/>
    <n v="1775.1"/>
    <m/>
    <d v="1899-12-30T00:09:18"/>
    <n v="0"/>
    <n v="5"/>
    <n v="1"/>
    <n v="1"/>
    <m/>
    <m/>
    <m/>
    <m/>
    <n v="-1"/>
    <m/>
    <m/>
    <m/>
    <m/>
    <m/>
    <m/>
    <m/>
    <n v="1"/>
    <s v=""/>
    <s v=""/>
  </r>
  <r>
    <x v="0"/>
    <x v="0"/>
    <x v="0"/>
    <x v="2"/>
    <x v="2"/>
    <m/>
    <m/>
    <x v="0"/>
    <m/>
    <m/>
    <m/>
    <d v="1899-12-30T00:00:00"/>
    <n v="0"/>
    <n v="5"/>
    <n v="1"/>
    <n v="0"/>
    <m/>
    <m/>
    <m/>
    <m/>
    <n v="0"/>
    <m/>
    <m/>
    <m/>
    <m/>
    <m/>
    <m/>
    <m/>
    <s v=""/>
    <s v=""/>
    <s v=""/>
  </r>
  <r>
    <x v="0"/>
    <x v="0"/>
    <x v="0"/>
    <x v="3"/>
    <x v="2"/>
    <m/>
    <m/>
    <x v="0"/>
    <m/>
    <m/>
    <m/>
    <d v="1899-12-30T00:00:00"/>
    <n v="0"/>
    <n v="5"/>
    <n v="1"/>
    <n v="0"/>
    <m/>
    <m/>
    <m/>
    <m/>
    <n v="0"/>
    <m/>
    <m/>
    <m/>
    <m/>
    <m/>
    <m/>
    <m/>
    <s v=""/>
    <s v=""/>
    <s v=""/>
  </r>
  <r>
    <x v="0"/>
    <x v="0"/>
    <x v="0"/>
    <x v="4"/>
    <x v="2"/>
    <m/>
    <m/>
    <x v="0"/>
    <m/>
    <m/>
    <m/>
    <d v="1899-12-30T00:00:00"/>
    <n v="0"/>
    <n v="5"/>
    <n v="1"/>
    <n v="0"/>
    <m/>
    <m/>
    <m/>
    <m/>
    <n v="0"/>
    <m/>
    <m/>
    <m/>
    <m/>
    <m/>
    <m/>
    <m/>
    <e v="#REF!"/>
    <s v=""/>
    <s v=""/>
  </r>
  <r>
    <x v="1"/>
    <x v="0"/>
    <x v="1"/>
    <x v="0"/>
    <x v="2"/>
    <m/>
    <m/>
    <x v="0"/>
    <m/>
    <m/>
    <m/>
    <d v="1899-12-30T00:00:00"/>
    <n v="0"/>
    <n v="5"/>
    <n v="1"/>
    <n v="0"/>
    <m/>
    <m/>
    <m/>
    <m/>
    <n v="0"/>
    <n v="0"/>
    <n v="1199"/>
    <n v="1249"/>
    <s v="0"/>
    <s v="0"/>
    <n v="0"/>
    <s v="0"/>
    <s v=""/>
    <s v=""/>
    <s v=""/>
  </r>
  <r>
    <x v="1"/>
    <x v="0"/>
    <x v="1"/>
    <x v="1"/>
    <x v="2"/>
    <m/>
    <m/>
    <x v="0"/>
    <m/>
    <m/>
    <m/>
    <d v="1899-12-30T00:00:00"/>
    <n v="0"/>
    <n v="5"/>
    <n v="1"/>
    <n v="0"/>
    <m/>
    <m/>
    <m/>
    <m/>
    <n v="0"/>
    <m/>
    <m/>
    <m/>
    <m/>
    <m/>
    <m/>
    <m/>
    <s v=""/>
    <s v=""/>
    <s v=""/>
  </r>
  <r>
    <x v="1"/>
    <x v="0"/>
    <x v="1"/>
    <x v="2"/>
    <x v="2"/>
    <m/>
    <m/>
    <x v="0"/>
    <m/>
    <m/>
    <m/>
    <d v="1899-12-30T00:00:00"/>
    <n v="0"/>
    <n v="5"/>
    <n v="1"/>
    <n v="0"/>
    <m/>
    <m/>
    <m/>
    <m/>
    <n v="0"/>
    <m/>
    <m/>
    <m/>
    <m/>
    <m/>
    <m/>
    <m/>
    <s v=""/>
    <s v=""/>
    <s v=""/>
  </r>
  <r>
    <x v="1"/>
    <x v="0"/>
    <x v="1"/>
    <x v="3"/>
    <x v="2"/>
    <m/>
    <m/>
    <x v="0"/>
    <m/>
    <m/>
    <m/>
    <d v="1899-12-30T00:00:00"/>
    <n v="0"/>
    <n v="5"/>
    <n v="1"/>
    <n v="0"/>
    <m/>
    <m/>
    <m/>
    <m/>
    <n v="0"/>
    <m/>
    <m/>
    <m/>
    <m/>
    <m/>
    <m/>
    <m/>
    <s v=""/>
    <s v=""/>
    <s v=""/>
  </r>
  <r>
    <x v="1"/>
    <x v="0"/>
    <x v="1"/>
    <x v="4"/>
    <x v="2"/>
    <m/>
    <m/>
    <x v="0"/>
    <m/>
    <m/>
    <m/>
    <d v="1899-12-30T00:00:00"/>
    <n v="0"/>
    <n v="5"/>
    <n v="1"/>
    <n v="0"/>
    <m/>
    <m/>
    <m/>
    <m/>
    <n v="0"/>
    <m/>
    <m/>
    <m/>
    <m/>
    <m/>
    <m/>
    <m/>
    <s v=""/>
    <s v=""/>
    <s v=""/>
  </r>
  <r>
    <x v="2"/>
    <x v="0"/>
    <x v="2"/>
    <x v="0"/>
    <x v="2"/>
    <m/>
    <m/>
    <x v="0"/>
    <m/>
    <m/>
    <m/>
    <d v="1899-12-30T00:00:00"/>
    <n v="0"/>
    <n v="5"/>
    <n v="1"/>
    <n v="0"/>
    <s v=" "/>
    <s v=" "/>
    <s v=" "/>
    <s v=" "/>
    <n v="0"/>
    <n v="0"/>
    <n v="1199"/>
    <n v="1249"/>
    <s v="0"/>
    <s v="0"/>
    <n v="0"/>
    <s v="0"/>
    <s v=""/>
    <s v=""/>
    <s v=""/>
  </r>
  <r>
    <x v="2"/>
    <x v="0"/>
    <x v="2"/>
    <x v="1"/>
    <x v="2"/>
    <m/>
    <m/>
    <x v="0"/>
    <m/>
    <m/>
    <m/>
    <d v="1899-12-30T00:00:00"/>
    <n v="0"/>
    <n v="5"/>
    <n v="1"/>
    <n v="0"/>
    <s v=" "/>
    <s v=" "/>
    <s v=" "/>
    <s v=" "/>
    <n v="0"/>
    <m/>
    <m/>
    <m/>
    <m/>
    <m/>
    <m/>
    <m/>
    <s v=""/>
    <s v=""/>
    <s v=""/>
  </r>
  <r>
    <x v="2"/>
    <x v="0"/>
    <x v="2"/>
    <x v="2"/>
    <x v="2"/>
    <m/>
    <m/>
    <x v="0"/>
    <m/>
    <m/>
    <m/>
    <d v="1899-12-30T00:00:00"/>
    <n v="0"/>
    <n v="5"/>
    <n v="1"/>
    <n v="0"/>
    <m/>
    <m/>
    <m/>
    <m/>
    <n v="0"/>
    <m/>
    <m/>
    <m/>
    <m/>
    <m/>
    <m/>
    <m/>
    <s v=""/>
    <s v=""/>
    <s v=""/>
  </r>
  <r>
    <x v="2"/>
    <x v="0"/>
    <x v="2"/>
    <x v="3"/>
    <x v="2"/>
    <m/>
    <m/>
    <x v="0"/>
    <m/>
    <m/>
    <m/>
    <d v="1899-12-30T00:00:00"/>
    <n v="0"/>
    <n v="5"/>
    <n v="1"/>
    <n v="0"/>
    <m/>
    <m/>
    <m/>
    <m/>
    <n v="0"/>
    <m/>
    <m/>
    <m/>
    <m/>
    <m/>
    <m/>
    <m/>
    <s v=""/>
    <s v=""/>
    <s v=""/>
  </r>
  <r>
    <x v="2"/>
    <x v="0"/>
    <x v="2"/>
    <x v="4"/>
    <x v="2"/>
    <m/>
    <m/>
    <x v="0"/>
    <m/>
    <m/>
    <m/>
    <d v="1899-12-30T00:00:00"/>
    <n v="0"/>
    <n v="5"/>
    <n v="1"/>
    <n v="0"/>
    <m/>
    <m/>
    <m/>
    <m/>
    <n v="0"/>
    <m/>
    <m/>
    <m/>
    <m/>
    <m/>
    <m/>
    <m/>
    <s v=""/>
    <s v=""/>
    <s v=""/>
  </r>
  <r>
    <x v="3"/>
    <x v="1"/>
    <x v="3"/>
    <x v="0"/>
    <x v="1"/>
    <d v="2020-11-23T10:35:39"/>
    <n v="1803"/>
    <x v="0"/>
    <d v="2020-11-23T10:48:01"/>
    <n v="1809"/>
    <m/>
    <d v="1899-12-30T00:12:22"/>
    <n v="6"/>
    <n v="5"/>
    <n v="1"/>
    <n v="0.8"/>
    <m/>
    <m/>
    <m/>
    <m/>
    <n v="29.2"/>
    <n v="29.2"/>
    <n v="1228.2"/>
    <n v="1299"/>
    <n v="10"/>
    <n v="50"/>
    <n v="6"/>
    <n v="1"/>
    <n v="1"/>
    <n v="6"/>
    <s v=""/>
  </r>
  <r>
    <x v="3"/>
    <x v="1"/>
    <x v="3"/>
    <x v="1"/>
    <x v="2"/>
    <m/>
    <m/>
    <x v="0"/>
    <m/>
    <m/>
    <m/>
    <d v="1899-12-30T00:00:00"/>
    <n v="0"/>
    <n v="5"/>
    <n v="1"/>
    <n v="0"/>
    <m/>
    <m/>
    <m/>
    <m/>
    <n v="0"/>
    <m/>
    <m/>
    <m/>
    <m/>
    <m/>
    <m/>
    <m/>
    <s v=""/>
    <s v=""/>
    <s v=""/>
  </r>
  <r>
    <x v="3"/>
    <x v="1"/>
    <x v="3"/>
    <x v="2"/>
    <x v="2"/>
    <m/>
    <m/>
    <x v="0"/>
    <m/>
    <m/>
    <m/>
    <d v="1899-12-30T00:00:00"/>
    <n v="0"/>
    <n v="5"/>
    <n v="1"/>
    <n v="0"/>
    <m/>
    <m/>
    <m/>
    <m/>
    <n v="0"/>
    <m/>
    <m/>
    <m/>
    <m/>
    <m/>
    <m/>
    <m/>
    <s v=""/>
    <s v=""/>
    <s v=""/>
  </r>
  <r>
    <x v="3"/>
    <x v="1"/>
    <x v="3"/>
    <x v="3"/>
    <x v="2"/>
    <m/>
    <m/>
    <x v="0"/>
    <m/>
    <m/>
    <m/>
    <d v="1899-12-30T00:00:00"/>
    <n v="0"/>
    <n v="5"/>
    <n v="1"/>
    <n v="0"/>
    <m/>
    <m/>
    <m/>
    <m/>
    <n v="0"/>
    <m/>
    <m/>
    <m/>
    <m/>
    <m/>
    <m/>
    <m/>
    <s v=""/>
    <s v=""/>
    <s v=""/>
  </r>
  <r>
    <x v="3"/>
    <x v="1"/>
    <x v="3"/>
    <x v="4"/>
    <x v="2"/>
    <m/>
    <m/>
    <x v="0"/>
    <m/>
    <m/>
    <m/>
    <d v="1899-12-30T00:00:00"/>
    <n v="0"/>
    <n v="5"/>
    <n v="1"/>
    <n v="0"/>
    <m/>
    <m/>
    <m/>
    <m/>
    <n v="0"/>
    <m/>
    <m/>
    <m/>
    <m/>
    <m/>
    <m/>
    <m/>
    <s v=""/>
    <s v=""/>
    <s v=""/>
  </r>
  <r>
    <x v="4"/>
    <x v="1"/>
    <x v="4"/>
    <x v="0"/>
    <x v="1"/>
    <m/>
    <n v="1840.7"/>
    <x v="0"/>
    <m/>
    <n v="1846.7"/>
    <m/>
    <d v="1899-12-30T00:00:00"/>
    <n v="6"/>
    <n v="5"/>
    <n v="1"/>
    <n v="0.8"/>
    <m/>
    <m/>
    <m/>
    <m/>
    <n v="29.2"/>
    <n v="43.4"/>
    <n v="1271.6000000000001"/>
    <n v="1349"/>
    <n v="10"/>
    <n v="50"/>
    <n v="9"/>
    <n v="1"/>
    <n v="1"/>
    <n v="6"/>
    <s v=""/>
  </r>
  <r>
    <x v="4"/>
    <x v="1"/>
    <x v="4"/>
    <x v="1"/>
    <x v="1"/>
    <m/>
    <n v="1850.7"/>
    <x v="0"/>
    <m/>
    <n v="1853.7"/>
    <m/>
    <d v="1899-12-30T00:00:00"/>
    <n v="3"/>
    <n v="5"/>
    <n v="1"/>
    <n v="0.8"/>
    <m/>
    <m/>
    <m/>
    <m/>
    <n v="14.2"/>
    <m/>
    <m/>
    <m/>
    <m/>
    <m/>
    <m/>
    <m/>
    <n v="1"/>
    <n v="3"/>
    <s v=""/>
  </r>
  <r>
    <x v="4"/>
    <x v="1"/>
    <x v="4"/>
    <x v="2"/>
    <x v="2"/>
    <m/>
    <m/>
    <x v="0"/>
    <m/>
    <m/>
    <m/>
    <d v="1899-12-30T00:00:00"/>
    <n v="0"/>
    <n v="5"/>
    <n v="1"/>
    <n v="0"/>
    <m/>
    <m/>
    <m/>
    <m/>
    <n v="0"/>
    <m/>
    <m/>
    <m/>
    <m/>
    <m/>
    <m/>
    <m/>
    <s v=""/>
    <s v=""/>
    <s v=""/>
  </r>
  <r>
    <x v="4"/>
    <x v="1"/>
    <x v="4"/>
    <x v="3"/>
    <x v="2"/>
    <m/>
    <m/>
    <x v="0"/>
    <m/>
    <m/>
    <m/>
    <d v="1899-12-30T00:00:00"/>
    <n v="0"/>
    <n v="5"/>
    <n v="1"/>
    <n v="0"/>
    <m/>
    <m/>
    <m/>
    <m/>
    <n v="0"/>
    <m/>
    <m/>
    <m/>
    <m/>
    <m/>
    <m/>
    <m/>
    <s v=""/>
    <s v=""/>
    <s v=""/>
  </r>
  <r>
    <x v="4"/>
    <x v="1"/>
    <x v="4"/>
    <x v="4"/>
    <x v="2"/>
    <m/>
    <m/>
    <x v="0"/>
    <m/>
    <m/>
    <m/>
    <d v="1899-12-30T00:00:00"/>
    <n v="0"/>
    <n v="5"/>
    <n v="1"/>
    <n v="0"/>
    <m/>
    <m/>
    <m/>
    <m/>
    <n v="0"/>
    <m/>
    <m/>
    <m/>
    <m/>
    <m/>
    <m/>
    <m/>
    <s v=""/>
    <s v=""/>
    <s v=""/>
  </r>
  <r>
    <x v="5"/>
    <x v="1"/>
    <x v="5"/>
    <x v="0"/>
    <x v="1"/>
    <d v="2020-11-25T11:10:07"/>
    <n v="1838.1"/>
    <x v="0"/>
    <d v="2020-11-25T11:42:19"/>
    <n v="1839.8"/>
    <m/>
    <d v="1899-12-30T00:32:12"/>
    <n v="1.7000000000000455"/>
    <n v="5"/>
    <n v="1"/>
    <n v="0.8"/>
    <m/>
    <m/>
    <m/>
    <m/>
    <n v="7.7000000000002276"/>
    <n v="7.7000000000002276"/>
    <n v="1279.3000000000004"/>
    <n v="1399"/>
    <n v="10"/>
    <n v="50"/>
    <n v="1.7000000000000455"/>
    <n v="1"/>
    <n v="1"/>
    <n v="1.7000000000000455"/>
    <s v=""/>
  </r>
  <r>
    <x v="5"/>
    <x v="1"/>
    <x v="5"/>
    <x v="1"/>
    <x v="2"/>
    <m/>
    <m/>
    <x v="0"/>
    <m/>
    <m/>
    <m/>
    <d v="1899-12-30T00:00:00"/>
    <n v="0"/>
    <n v="5"/>
    <n v="1"/>
    <n v="0"/>
    <m/>
    <m/>
    <m/>
    <m/>
    <n v="0"/>
    <m/>
    <m/>
    <m/>
    <m/>
    <m/>
    <m/>
    <m/>
    <s v=""/>
    <s v=""/>
    <s v=""/>
  </r>
  <r>
    <x v="5"/>
    <x v="1"/>
    <x v="5"/>
    <x v="2"/>
    <x v="2"/>
    <m/>
    <m/>
    <x v="0"/>
    <m/>
    <m/>
    <m/>
    <d v="1899-12-30T00:00:00"/>
    <n v="0"/>
    <n v="5"/>
    <n v="1"/>
    <n v="0"/>
    <m/>
    <m/>
    <m/>
    <m/>
    <n v="0"/>
    <m/>
    <m/>
    <m/>
    <m/>
    <m/>
    <m/>
    <m/>
    <s v=""/>
    <s v=""/>
    <s v=""/>
  </r>
  <r>
    <x v="5"/>
    <x v="1"/>
    <x v="5"/>
    <x v="3"/>
    <x v="2"/>
    <m/>
    <m/>
    <x v="0"/>
    <m/>
    <m/>
    <m/>
    <d v="1899-12-30T00:00:00"/>
    <n v="0"/>
    <n v="5"/>
    <n v="1"/>
    <n v="0"/>
    <m/>
    <m/>
    <m/>
    <m/>
    <n v="0"/>
    <m/>
    <m/>
    <m/>
    <m/>
    <m/>
    <m/>
    <m/>
    <s v=""/>
    <s v=""/>
    <s v=""/>
  </r>
  <r>
    <x v="5"/>
    <x v="1"/>
    <x v="5"/>
    <x v="4"/>
    <x v="2"/>
    <m/>
    <m/>
    <x v="0"/>
    <m/>
    <m/>
    <m/>
    <d v="1899-12-30T00:00:00"/>
    <n v="0"/>
    <n v="5"/>
    <n v="1"/>
    <n v="0"/>
    <m/>
    <m/>
    <m/>
    <m/>
    <n v="0"/>
    <m/>
    <m/>
    <m/>
    <m/>
    <m/>
    <m/>
    <m/>
    <s v=""/>
    <s v=""/>
    <s v=""/>
  </r>
  <r>
    <x v="6"/>
    <x v="1"/>
    <x v="6"/>
    <x v="0"/>
    <x v="2"/>
    <m/>
    <m/>
    <x v="0"/>
    <m/>
    <m/>
    <m/>
    <d v="1899-12-30T00:00:00"/>
    <n v="0"/>
    <n v="5"/>
    <n v="1"/>
    <n v="0"/>
    <m/>
    <m/>
    <m/>
    <m/>
    <n v="0"/>
    <n v="0"/>
    <n v="1279.3000000000004"/>
    <n v="1399"/>
    <s v="0"/>
    <s v="0"/>
    <n v="0"/>
    <s v="0"/>
    <s v=""/>
    <s v=""/>
    <s v=""/>
  </r>
  <r>
    <x v="6"/>
    <x v="1"/>
    <x v="6"/>
    <x v="1"/>
    <x v="2"/>
    <m/>
    <m/>
    <x v="0"/>
    <m/>
    <m/>
    <m/>
    <d v="1899-12-30T00:00:00"/>
    <n v="0"/>
    <n v="5"/>
    <n v="1"/>
    <n v="0"/>
    <m/>
    <m/>
    <m/>
    <m/>
    <n v="0"/>
    <m/>
    <m/>
    <m/>
    <m/>
    <m/>
    <m/>
    <m/>
    <s v=""/>
    <s v=""/>
    <s v=""/>
  </r>
  <r>
    <x v="6"/>
    <x v="1"/>
    <x v="6"/>
    <x v="2"/>
    <x v="2"/>
    <m/>
    <m/>
    <x v="0"/>
    <m/>
    <m/>
    <m/>
    <d v="1899-12-30T00:00:00"/>
    <n v="0"/>
    <n v="5"/>
    <n v="1"/>
    <n v="0"/>
    <m/>
    <m/>
    <m/>
    <m/>
    <n v="0"/>
    <m/>
    <m/>
    <m/>
    <m/>
    <m/>
    <m/>
    <m/>
    <s v=""/>
    <s v=""/>
    <s v=""/>
  </r>
  <r>
    <x v="6"/>
    <x v="1"/>
    <x v="6"/>
    <x v="3"/>
    <x v="2"/>
    <m/>
    <m/>
    <x v="0"/>
    <m/>
    <m/>
    <m/>
    <d v="1899-12-30T00:00:00"/>
    <n v="0"/>
    <n v="5"/>
    <n v="1"/>
    <n v="0"/>
    <m/>
    <m/>
    <m/>
    <m/>
    <n v="0"/>
    <m/>
    <m/>
    <m/>
    <m/>
    <m/>
    <m/>
    <m/>
    <s v=""/>
    <s v=""/>
    <s v=""/>
  </r>
  <r>
    <x v="6"/>
    <x v="1"/>
    <x v="6"/>
    <x v="4"/>
    <x v="2"/>
    <m/>
    <m/>
    <x v="0"/>
    <m/>
    <m/>
    <m/>
    <d v="1899-12-30T00:00:00"/>
    <n v="0"/>
    <n v="5"/>
    <n v="1"/>
    <n v="0"/>
    <m/>
    <m/>
    <m/>
    <m/>
    <n v="0"/>
    <m/>
    <m/>
    <m/>
    <m/>
    <m/>
    <m/>
    <m/>
    <s v=""/>
    <s v=""/>
    <s v=""/>
  </r>
  <r>
    <x v="7"/>
    <x v="1"/>
    <x v="7"/>
    <x v="0"/>
    <x v="1"/>
    <d v="2020-11-27T11:40:07"/>
    <n v="1846.7"/>
    <x v="0"/>
    <d v="2020-11-27T12:04:16"/>
    <n v="1848.6"/>
    <m/>
    <d v="1899-12-30T00:24:09"/>
    <n v="1.8999999999998636"/>
    <n v="5"/>
    <n v="1"/>
    <n v="0.8"/>
    <m/>
    <m/>
    <m/>
    <m/>
    <n v="8.6999999999993172"/>
    <n v="8.6999999999993172"/>
    <n v="1287.9999999999998"/>
    <n v="1449"/>
    <n v="10"/>
    <n v="50"/>
    <n v="1.8999999999998636"/>
    <n v="1"/>
    <n v="1"/>
    <n v="1.8999999999998636"/>
    <s v=""/>
  </r>
  <r>
    <x v="7"/>
    <x v="1"/>
    <x v="7"/>
    <x v="1"/>
    <x v="2"/>
    <m/>
    <m/>
    <x v="0"/>
    <m/>
    <m/>
    <m/>
    <d v="1899-12-30T00:00:00"/>
    <n v="0"/>
    <n v="5"/>
    <n v="1"/>
    <n v="0"/>
    <m/>
    <m/>
    <m/>
    <m/>
    <n v="0"/>
    <m/>
    <m/>
    <m/>
    <m/>
    <m/>
    <m/>
    <m/>
    <s v=""/>
    <s v=""/>
    <s v=""/>
  </r>
  <r>
    <x v="7"/>
    <x v="1"/>
    <x v="7"/>
    <x v="2"/>
    <x v="2"/>
    <m/>
    <m/>
    <x v="0"/>
    <m/>
    <m/>
    <m/>
    <d v="1899-12-30T00:00:00"/>
    <n v="0"/>
    <n v="5"/>
    <n v="1"/>
    <n v="0"/>
    <m/>
    <m/>
    <m/>
    <m/>
    <n v="0"/>
    <m/>
    <m/>
    <m/>
    <m/>
    <m/>
    <m/>
    <m/>
    <s v=""/>
    <s v=""/>
    <s v=""/>
  </r>
  <r>
    <x v="7"/>
    <x v="1"/>
    <x v="7"/>
    <x v="3"/>
    <x v="2"/>
    <m/>
    <m/>
    <x v="0"/>
    <m/>
    <m/>
    <m/>
    <d v="1899-12-30T00:00:00"/>
    <n v="0"/>
    <n v="5"/>
    <n v="1"/>
    <n v="0"/>
    <m/>
    <m/>
    <m/>
    <m/>
    <n v="0"/>
    <m/>
    <m/>
    <m/>
    <m/>
    <m/>
    <m/>
    <m/>
    <s v=""/>
    <s v=""/>
    <s v=""/>
  </r>
  <r>
    <x v="7"/>
    <x v="1"/>
    <x v="7"/>
    <x v="4"/>
    <x v="2"/>
    <m/>
    <m/>
    <x v="0"/>
    <m/>
    <m/>
    <m/>
    <d v="1899-12-30T00:00:00"/>
    <n v="0"/>
    <n v="5"/>
    <n v="1"/>
    <n v="0"/>
    <m/>
    <m/>
    <m/>
    <m/>
    <n v="0"/>
    <m/>
    <m/>
    <m/>
    <m/>
    <m/>
    <m/>
    <m/>
    <s v=""/>
    <s v=""/>
    <s v=""/>
  </r>
  <r>
    <x v="8"/>
    <x v="1"/>
    <x v="8"/>
    <x v="0"/>
    <x v="2"/>
    <m/>
    <m/>
    <x v="0"/>
    <m/>
    <m/>
    <m/>
    <d v="1899-12-30T00:00:00"/>
    <n v="0"/>
    <n v="5"/>
    <n v="1"/>
    <n v="0"/>
    <m/>
    <m/>
    <m/>
    <m/>
    <n v="0"/>
    <n v="0"/>
    <n v="1287.9999999999998"/>
    <n v="1449"/>
    <s v="0"/>
    <s v="0"/>
    <n v="0"/>
    <s v="0"/>
    <s v=""/>
    <s v=""/>
    <s v=""/>
  </r>
  <r>
    <x v="8"/>
    <x v="1"/>
    <x v="8"/>
    <x v="1"/>
    <x v="2"/>
    <m/>
    <m/>
    <x v="0"/>
    <m/>
    <m/>
    <m/>
    <d v="1899-12-30T00:00:00"/>
    <n v="0"/>
    <n v="5"/>
    <n v="1"/>
    <n v="0"/>
    <m/>
    <m/>
    <m/>
    <m/>
    <n v="0"/>
    <m/>
    <m/>
    <m/>
    <m/>
    <m/>
    <m/>
    <m/>
    <s v=""/>
    <s v=""/>
    <s v=""/>
  </r>
  <r>
    <x v="8"/>
    <x v="1"/>
    <x v="8"/>
    <x v="2"/>
    <x v="2"/>
    <m/>
    <m/>
    <x v="0"/>
    <m/>
    <m/>
    <m/>
    <d v="1899-12-30T00:00:00"/>
    <n v="0"/>
    <n v="5"/>
    <n v="1"/>
    <n v="0"/>
    <m/>
    <m/>
    <m/>
    <m/>
    <n v="0"/>
    <m/>
    <m/>
    <m/>
    <m/>
    <m/>
    <m/>
    <m/>
    <s v=""/>
    <s v=""/>
    <s v=""/>
  </r>
  <r>
    <x v="8"/>
    <x v="1"/>
    <x v="8"/>
    <x v="3"/>
    <x v="2"/>
    <m/>
    <m/>
    <x v="0"/>
    <m/>
    <m/>
    <m/>
    <d v="1899-12-30T00:00:00"/>
    <n v="0"/>
    <n v="5"/>
    <n v="1"/>
    <n v="0"/>
    <m/>
    <m/>
    <m/>
    <m/>
    <n v="0"/>
    <m/>
    <m/>
    <m/>
    <m/>
    <m/>
    <m/>
    <m/>
    <s v=""/>
    <s v=""/>
    <s v=""/>
  </r>
  <r>
    <x v="8"/>
    <x v="1"/>
    <x v="8"/>
    <x v="4"/>
    <x v="2"/>
    <m/>
    <m/>
    <x v="0"/>
    <m/>
    <m/>
    <m/>
    <d v="1899-12-30T00:00:00"/>
    <n v="0"/>
    <n v="5"/>
    <n v="1"/>
    <n v="0"/>
    <m/>
    <m/>
    <m/>
    <m/>
    <n v="0"/>
    <m/>
    <m/>
    <m/>
    <m/>
    <m/>
    <m/>
    <m/>
    <s v=""/>
    <s v=""/>
    <s v=""/>
  </r>
  <r>
    <x v="9"/>
    <x v="1"/>
    <x v="9"/>
    <x v="0"/>
    <x v="2"/>
    <m/>
    <m/>
    <x v="0"/>
    <m/>
    <m/>
    <m/>
    <d v="1899-12-30T00:00:00"/>
    <n v="0"/>
    <n v="5"/>
    <n v="1"/>
    <n v="0"/>
    <m/>
    <m/>
    <m/>
    <m/>
    <n v="0"/>
    <n v="0"/>
    <n v="1287.9999999999998"/>
    <n v="1449"/>
    <s v="0"/>
    <s v="0"/>
    <n v="0"/>
    <s v="0"/>
    <s v=""/>
    <s v=""/>
    <s v=""/>
  </r>
  <r>
    <x v="9"/>
    <x v="1"/>
    <x v="9"/>
    <x v="1"/>
    <x v="2"/>
    <m/>
    <m/>
    <x v="0"/>
    <m/>
    <m/>
    <m/>
    <d v="1899-12-30T00:00:00"/>
    <n v="0"/>
    <n v="5"/>
    <n v="1"/>
    <n v="0"/>
    <m/>
    <m/>
    <m/>
    <m/>
    <n v="0"/>
    <m/>
    <m/>
    <m/>
    <m/>
    <m/>
    <m/>
    <m/>
    <s v=""/>
    <s v=""/>
    <s v=""/>
  </r>
  <r>
    <x v="9"/>
    <x v="1"/>
    <x v="9"/>
    <x v="2"/>
    <x v="2"/>
    <m/>
    <m/>
    <x v="0"/>
    <m/>
    <m/>
    <m/>
    <d v="1899-12-30T00:00:00"/>
    <n v="0"/>
    <n v="5"/>
    <n v="1"/>
    <n v="0"/>
    <m/>
    <m/>
    <m/>
    <m/>
    <n v="0"/>
    <m/>
    <m/>
    <m/>
    <m/>
    <m/>
    <m/>
    <m/>
    <s v=""/>
    <s v=""/>
    <s v=""/>
  </r>
  <r>
    <x v="9"/>
    <x v="1"/>
    <x v="9"/>
    <x v="3"/>
    <x v="2"/>
    <m/>
    <m/>
    <x v="0"/>
    <m/>
    <m/>
    <m/>
    <d v="1899-12-30T00:00:00"/>
    <n v="0"/>
    <n v="5"/>
    <n v="1"/>
    <n v="0"/>
    <m/>
    <m/>
    <m/>
    <m/>
    <n v="0"/>
    <m/>
    <m/>
    <m/>
    <m/>
    <m/>
    <m/>
    <m/>
    <s v=""/>
    <s v=""/>
    <s v=""/>
  </r>
  <r>
    <x v="9"/>
    <x v="1"/>
    <x v="9"/>
    <x v="4"/>
    <x v="2"/>
    <m/>
    <m/>
    <x v="0"/>
    <m/>
    <m/>
    <m/>
    <d v="1899-12-30T00:00:00"/>
    <n v="0"/>
    <n v="5"/>
    <n v="1"/>
    <n v="0"/>
    <m/>
    <m/>
    <m/>
    <m/>
    <n v="0"/>
    <m/>
    <m/>
    <m/>
    <m/>
    <m/>
    <m/>
    <m/>
    <s v=""/>
    <s v=""/>
    <s v=""/>
  </r>
  <r>
    <x v="10"/>
    <x v="2"/>
    <x v="10"/>
    <x v="0"/>
    <x v="1"/>
    <d v="2020-11-30T11:12:03"/>
    <n v="1830.1"/>
    <x v="0"/>
    <d v="2020-11-30T11:18:46"/>
    <n v="1827.1"/>
    <m/>
    <d v="1899-12-30T00:06:43"/>
    <n v="-3"/>
    <n v="5"/>
    <n v="1"/>
    <n v="0.8"/>
    <m/>
    <m/>
    <m/>
    <m/>
    <n v="-15.8"/>
    <n v="-41.6"/>
    <n v="1246.3999999999999"/>
    <n v="1499"/>
    <n v="10"/>
    <n v="50"/>
    <n v="0"/>
    <n v="0"/>
    <n v="1"/>
    <s v=""/>
    <n v="-3"/>
  </r>
  <r>
    <x v="10"/>
    <x v="2"/>
    <x v="10"/>
    <x v="1"/>
    <x v="1"/>
    <d v="2020-11-30T11:45:17"/>
    <n v="1829.7"/>
    <x v="0"/>
    <d v="2020-11-30T12:02:56"/>
    <n v="1824.7"/>
    <m/>
    <d v="1899-12-30T00:17:39"/>
    <n v="-5"/>
    <n v="5"/>
    <n v="1"/>
    <n v="0.8"/>
    <m/>
    <m/>
    <m/>
    <m/>
    <n v="-25.8"/>
    <m/>
    <m/>
    <m/>
    <m/>
    <m/>
    <m/>
    <m/>
    <n v="1"/>
    <s v=""/>
    <n v="-5"/>
  </r>
  <r>
    <x v="10"/>
    <x v="2"/>
    <x v="10"/>
    <x v="2"/>
    <x v="2"/>
    <m/>
    <m/>
    <x v="0"/>
    <m/>
    <m/>
    <m/>
    <d v="1899-12-30T00:00:00"/>
    <n v="0"/>
    <n v="5"/>
    <n v="1"/>
    <n v="0"/>
    <m/>
    <m/>
    <m/>
    <m/>
    <n v="0"/>
    <m/>
    <m/>
    <m/>
    <m/>
    <m/>
    <m/>
    <m/>
    <s v=""/>
    <s v=""/>
    <s v=""/>
  </r>
  <r>
    <x v="10"/>
    <x v="2"/>
    <x v="10"/>
    <x v="3"/>
    <x v="2"/>
    <m/>
    <m/>
    <x v="0"/>
    <m/>
    <m/>
    <m/>
    <d v="1899-12-30T00:00:00"/>
    <n v="0"/>
    <n v="5"/>
    <n v="1"/>
    <n v="0"/>
    <m/>
    <m/>
    <m/>
    <m/>
    <n v="0"/>
    <m/>
    <m/>
    <m/>
    <m/>
    <m/>
    <m/>
    <m/>
    <s v=""/>
    <s v=""/>
    <s v=""/>
  </r>
  <r>
    <x v="10"/>
    <x v="2"/>
    <x v="10"/>
    <x v="4"/>
    <x v="2"/>
    <m/>
    <m/>
    <x v="0"/>
    <m/>
    <m/>
    <m/>
    <d v="1899-12-30T00:00:00"/>
    <n v="0"/>
    <n v="5"/>
    <n v="1"/>
    <n v="0"/>
    <m/>
    <m/>
    <m/>
    <m/>
    <n v="0"/>
    <m/>
    <m/>
    <m/>
    <m/>
    <m/>
    <m/>
    <m/>
    <s v=""/>
    <s v=""/>
    <s v=""/>
  </r>
  <r>
    <x v="11"/>
    <x v="2"/>
    <x v="11"/>
    <x v="0"/>
    <x v="0"/>
    <d v="2020-12-01T11:36:22"/>
    <n v="1834.5"/>
    <x v="0"/>
    <d v="2020-12-01T11:37:22"/>
    <n v="1829.3"/>
    <m/>
    <d v="1899-12-30T00:01:00"/>
    <n v="5.2000000000000455"/>
    <n v="5"/>
    <n v="1"/>
    <n v="0.8"/>
    <m/>
    <m/>
    <m/>
    <m/>
    <n v="25.200000000000227"/>
    <n v="18.300000000000907"/>
    <n v="1264.7000000000007"/>
    <n v="1549"/>
    <n v="10"/>
    <n v="50"/>
    <n v="2.433333333333394"/>
    <n v="0.75"/>
    <n v="1"/>
    <n v="5.2000000000000455"/>
    <s v=""/>
  </r>
  <r>
    <x v="11"/>
    <x v="2"/>
    <x v="11"/>
    <x v="1"/>
    <x v="0"/>
    <d v="2020-12-01T12:00:10"/>
    <n v="1827.6"/>
    <x v="0"/>
    <d v="2020-12-01T12:02:13"/>
    <n v="1830.6"/>
    <m/>
    <d v="1899-12-30T00:02:03"/>
    <n v="-3"/>
    <n v="5"/>
    <n v="1"/>
    <n v="0.8"/>
    <m/>
    <m/>
    <m/>
    <m/>
    <n v="-15.8"/>
    <m/>
    <m/>
    <m/>
    <m/>
    <m/>
    <m/>
    <m/>
    <n v="1"/>
    <s v=""/>
    <n v="-3"/>
  </r>
  <r>
    <x v="11"/>
    <x v="2"/>
    <x v="11"/>
    <x v="2"/>
    <x v="1"/>
    <d v="2020-12-01T12:25:11"/>
    <n v="1833"/>
    <x v="0"/>
    <d v="2020-12-01T12:30:35"/>
    <n v="1834.9"/>
    <m/>
    <d v="1899-12-30T00:05:24"/>
    <n v="1.9000000000000909"/>
    <n v="5"/>
    <n v="1"/>
    <n v="0.8"/>
    <m/>
    <m/>
    <m/>
    <m/>
    <n v="8.700000000000454"/>
    <m/>
    <m/>
    <m/>
    <m/>
    <m/>
    <m/>
    <m/>
    <n v="1"/>
    <n v="1.9000000000000909"/>
    <s v=""/>
  </r>
  <r>
    <x v="11"/>
    <x v="2"/>
    <x v="11"/>
    <x v="3"/>
    <x v="1"/>
    <d v="2020-12-01T12:47:05"/>
    <n v="1833.5"/>
    <x v="0"/>
    <d v="2020-12-01T12:49:54"/>
    <n v="1833.7"/>
    <m/>
    <d v="1899-12-30T00:02:49"/>
    <n v="0.20000000000004547"/>
    <n v="5"/>
    <n v="1"/>
    <n v="0.8"/>
    <m/>
    <m/>
    <m/>
    <m/>
    <n v="0.20000000000022733"/>
    <m/>
    <m/>
    <m/>
    <m/>
    <m/>
    <m/>
    <m/>
    <n v="1"/>
    <n v="0.20000000000004547"/>
    <s v=""/>
  </r>
  <r>
    <x v="11"/>
    <x v="2"/>
    <x v="11"/>
    <x v="4"/>
    <x v="2"/>
    <m/>
    <m/>
    <x v="0"/>
    <m/>
    <m/>
    <m/>
    <d v="1899-12-30T00:00:00"/>
    <n v="0"/>
    <n v="5"/>
    <n v="1"/>
    <n v="0"/>
    <m/>
    <m/>
    <m/>
    <m/>
    <n v="0"/>
    <m/>
    <m/>
    <m/>
    <m/>
    <m/>
    <m/>
    <m/>
    <s v=""/>
    <s v=""/>
    <s v=""/>
  </r>
  <r>
    <x v="12"/>
    <x v="2"/>
    <x v="12"/>
    <x v="0"/>
    <x v="0"/>
    <d v="2020-12-02T11:40:21"/>
    <n v="1827.9"/>
    <x v="0"/>
    <d v="2020-12-02T11:44:35"/>
    <n v="1827.8"/>
    <m/>
    <d v="1899-12-30T00:04:14"/>
    <n v="0.10000000000013642"/>
    <n v="5"/>
    <n v="1"/>
    <n v="0.8"/>
    <m/>
    <m/>
    <m/>
    <m/>
    <n v="-0.29999999999931792"/>
    <n v="-0.29999999999931792"/>
    <n v="1264.4000000000015"/>
    <n v="1599"/>
    <n v="10"/>
    <n v="50"/>
    <n v="0.10000000000013642"/>
    <n v="1"/>
    <n v="1"/>
    <n v="0.10000000000013642"/>
    <s v=""/>
  </r>
  <r>
    <x v="12"/>
    <x v="2"/>
    <x v="12"/>
    <x v="1"/>
    <x v="2"/>
    <m/>
    <m/>
    <x v="0"/>
    <m/>
    <m/>
    <m/>
    <d v="1899-12-30T00:00:00"/>
    <n v="0"/>
    <n v="5"/>
    <n v="1"/>
    <n v="0"/>
    <m/>
    <m/>
    <m/>
    <m/>
    <n v="0"/>
    <m/>
    <m/>
    <m/>
    <m/>
    <m/>
    <m/>
    <m/>
    <s v=""/>
    <s v=""/>
    <s v=""/>
  </r>
  <r>
    <x v="12"/>
    <x v="2"/>
    <x v="12"/>
    <x v="2"/>
    <x v="2"/>
    <m/>
    <m/>
    <x v="0"/>
    <m/>
    <m/>
    <m/>
    <d v="1899-12-30T00:00:00"/>
    <n v="0"/>
    <n v="5"/>
    <n v="1"/>
    <n v="0"/>
    <m/>
    <m/>
    <m/>
    <m/>
    <n v="0"/>
    <m/>
    <m/>
    <m/>
    <m/>
    <m/>
    <m/>
    <m/>
    <s v=""/>
    <s v=""/>
    <s v=""/>
  </r>
  <r>
    <x v="12"/>
    <x v="2"/>
    <x v="12"/>
    <x v="3"/>
    <x v="2"/>
    <m/>
    <m/>
    <x v="0"/>
    <m/>
    <m/>
    <m/>
    <d v="1899-12-30T00:00:00"/>
    <n v="0"/>
    <n v="5"/>
    <n v="1"/>
    <n v="0"/>
    <m/>
    <m/>
    <m/>
    <m/>
    <n v="0"/>
    <m/>
    <m/>
    <m/>
    <m/>
    <m/>
    <m/>
    <m/>
    <s v=""/>
    <s v=""/>
    <s v=""/>
  </r>
  <r>
    <x v="12"/>
    <x v="2"/>
    <x v="12"/>
    <x v="4"/>
    <x v="2"/>
    <m/>
    <m/>
    <x v="0"/>
    <m/>
    <m/>
    <m/>
    <d v="1899-12-30T00:00:00"/>
    <n v="0"/>
    <n v="5"/>
    <n v="1"/>
    <n v="0"/>
    <m/>
    <m/>
    <m/>
    <m/>
    <n v="0"/>
    <m/>
    <m/>
    <m/>
    <m/>
    <m/>
    <m/>
    <m/>
    <s v=""/>
    <s v=""/>
    <s v=""/>
  </r>
  <r>
    <x v="13"/>
    <x v="2"/>
    <x v="13"/>
    <x v="0"/>
    <x v="1"/>
    <d v="2020-12-03T09:47:23"/>
    <n v="1843"/>
    <x v="0"/>
    <d v="2020-12-03T09:49:31"/>
    <n v="1843.2"/>
    <m/>
    <d v="1899-12-30T00:02:08"/>
    <n v="0.20000000000004547"/>
    <n v="5"/>
    <n v="1"/>
    <n v="0.8"/>
    <m/>
    <m/>
    <m/>
    <m/>
    <n v="0.20000000000022733"/>
    <n v="-47.199999999999775"/>
    <n v="1217.2000000000016"/>
    <n v="1649"/>
    <n v="10"/>
    <n v="50"/>
    <n v="2.2222222222227275E-2"/>
    <n v="0.25"/>
    <n v="1"/>
    <n v="0.20000000000004547"/>
    <s v=""/>
  </r>
  <r>
    <x v="13"/>
    <x v="2"/>
    <x v="13"/>
    <x v="1"/>
    <x v="1"/>
    <d v="2020-12-03T11:20:07"/>
    <n v="1857.3"/>
    <x v="0"/>
    <d v="2020-12-03T11:44:55"/>
    <n v="1854.3"/>
    <m/>
    <d v="1899-12-30T00:24:48"/>
    <n v="-3"/>
    <n v="5"/>
    <n v="1"/>
    <n v="0.8"/>
    <m/>
    <m/>
    <m/>
    <m/>
    <n v="-15.8"/>
    <m/>
    <m/>
    <m/>
    <m/>
    <m/>
    <m/>
    <m/>
    <n v="1"/>
    <s v=""/>
    <n v="-3"/>
  </r>
  <r>
    <x v="13"/>
    <x v="2"/>
    <x v="13"/>
    <x v="2"/>
    <x v="0"/>
    <d v="2020-12-03T15:10:09"/>
    <n v="1854.6"/>
    <x v="0"/>
    <d v="2020-12-03T15:18:24"/>
    <n v="1857.6"/>
    <m/>
    <d v="1899-12-30T00:08:15"/>
    <n v="-3"/>
    <n v="5"/>
    <n v="1"/>
    <n v="0.8"/>
    <m/>
    <m/>
    <m/>
    <m/>
    <n v="-15.8"/>
    <m/>
    <m/>
    <m/>
    <m/>
    <m/>
    <m/>
    <m/>
    <n v="1"/>
    <s v=""/>
    <n v="-3"/>
  </r>
  <r>
    <x v="13"/>
    <x v="2"/>
    <x v="13"/>
    <x v="3"/>
    <x v="1"/>
    <d v="2020-12-03T15:18:56"/>
    <n v="1857.6"/>
    <x v="0"/>
    <d v="2020-12-03T15:39:30"/>
    <n v="1854.6"/>
    <m/>
    <d v="1899-12-30T00:20:34"/>
    <n v="-3"/>
    <n v="5"/>
    <n v="1"/>
    <n v="0.8"/>
    <m/>
    <m/>
    <m/>
    <m/>
    <n v="-15.8"/>
    <m/>
    <m/>
    <m/>
    <m/>
    <m/>
    <m/>
    <m/>
    <n v="1"/>
    <s v=""/>
    <n v="-3"/>
  </r>
  <r>
    <x v="13"/>
    <x v="2"/>
    <x v="13"/>
    <x v="4"/>
    <x v="2"/>
    <m/>
    <m/>
    <x v="0"/>
    <m/>
    <m/>
    <m/>
    <d v="1899-12-30T00:00:00"/>
    <n v="0"/>
    <n v="5"/>
    <n v="1"/>
    <n v="0"/>
    <m/>
    <m/>
    <m/>
    <m/>
    <n v="0"/>
    <m/>
    <m/>
    <m/>
    <m/>
    <m/>
    <m/>
    <m/>
    <s v=""/>
    <s v=""/>
    <s v=""/>
  </r>
  <r>
    <x v="14"/>
    <x v="2"/>
    <x v="14"/>
    <x v="0"/>
    <x v="1"/>
    <d v="2020-12-04T12:24:04"/>
    <n v="1881"/>
    <x v="0"/>
    <d v="2020-12-04T12:38:02"/>
    <n v="1881.1"/>
    <m/>
    <d v="1899-12-30T00:13:58"/>
    <n v="9.9999999999909051E-2"/>
    <n v="5"/>
    <n v="1"/>
    <n v="0.8"/>
    <m/>
    <m/>
    <m/>
    <m/>
    <n v="-0.30000000000045479"/>
    <n v="-0.30000000000045479"/>
    <n v="1216.9000000000012"/>
    <n v="1699"/>
    <n v="10"/>
    <n v="50"/>
    <n v="9.9999999999909051E-2"/>
    <n v="1"/>
    <n v="1"/>
    <n v="9.9999999999909051E-2"/>
    <s v=""/>
  </r>
  <r>
    <x v="14"/>
    <x v="2"/>
    <x v="14"/>
    <x v="1"/>
    <x v="2"/>
    <m/>
    <m/>
    <x v="0"/>
    <m/>
    <m/>
    <m/>
    <d v="1899-12-30T00:00:00"/>
    <n v="0"/>
    <n v="5"/>
    <n v="1"/>
    <n v="0"/>
    <m/>
    <m/>
    <m/>
    <m/>
    <n v="0"/>
    <m/>
    <m/>
    <m/>
    <m/>
    <m/>
    <m/>
    <m/>
    <s v=""/>
    <s v=""/>
    <s v=""/>
  </r>
  <r>
    <x v="14"/>
    <x v="2"/>
    <x v="14"/>
    <x v="2"/>
    <x v="2"/>
    <m/>
    <m/>
    <x v="0"/>
    <m/>
    <m/>
    <m/>
    <d v="1899-12-30T00:00:00"/>
    <n v="0"/>
    <n v="5"/>
    <n v="1"/>
    <n v="0"/>
    <m/>
    <m/>
    <m/>
    <m/>
    <n v="0"/>
    <m/>
    <m/>
    <m/>
    <m/>
    <m/>
    <m/>
    <m/>
    <s v=""/>
    <s v=""/>
    <s v=""/>
  </r>
  <r>
    <x v="14"/>
    <x v="2"/>
    <x v="14"/>
    <x v="3"/>
    <x v="2"/>
    <m/>
    <m/>
    <x v="0"/>
    <m/>
    <m/>
    <m/>
    <d v="1899-12-30T00:00:00"/>
    <n v="0"/>
    <n v="5"/>
    <n v="1"/>
    <n v="0"/>
    <m/>
    <m/>
    <m/>
    <m/>
    <n v="0"/>
    <m/>
    <m/>
    <m/>
    <m/>
    <m/>
    <m/>
    <m/>
    <s v=""/>
    <s v=""/>
    <s v=""/>
  </r>
  <r>
    <x v="14"/>
    <x v="2"/>
    <x v="14"/>
    <x v="4"/>
    <x v="2"/>
    <m/>
    <m/>
    <x v="0"/>
    <m/>
    <m/>
    <m/>
    <d v="1899-12-30T00:00:00"/>
    <n v="0"/>
    <n v="5"/>
    <n v="1"/>
    <n v="0"/>
    <m/>
    <m/>
    <m/>
    <m/>
    <n v="0"/>
    <m/>
    <m/>
    <m/>
    <m/>
    <m/>
    <m/>
    <m/>
    <s v=""/>
    <s v=""/>
    <s v=""/>
  </r>
  <r>
    <x v="15"/>
    <x v="2"/>
    <x v="15"/>
    <x v="0"/>
    <x v="2"/>
    <m/>
    <m/>
    <x v="0"/>
    <m/>
    <m/>
    <m/>
    <d v="1899-12-30T00:00:00"/>
    <n v="0"/>
    <n v="5"/>
    <n v="1"/>
    <n v="0"/>
    <m/>
    <m/>
    <m/>
    <m/>
    <n v="0"/>
    <n v="0"/>
    <n v="1216.9000000000012"/>
    <n v="1699"/>
    <s v="0"/>
    <s v="0"/>
    <n v="0"/>
    <s v="0"/>
    <s v=""/>
    <s v=""/>
    <s v=""/>
  </r>
  <r>
    <x v="15"/>
    <x v="2"/>
    <x v="15"/>
    <x v="1"/>
    <x v="2"/>
    <m/>
    <m/>
    <x v="0"/>
    <m/>
    <m/>
    <m/>
    <d v="1899-12-30T00:00:00"/>
    <n v="0"/>
    <n v="5"/>
    <n v="1"/>
    <n v="0"/>
    <m/>
    <m/>
    <m/>
    <m/>
    <n v="0"/>
    <m/>
    <m/>
    <m/>
    <m/>
    <m/>
    <m/>
    <m/>
    <s v=""/>
    <s v=""/>
    <s v=""/>
  </r>
  <r>
    <x v="15"/>
    <x v="2"/>
    <x v="15"/>
    <x v="2"/>
    <x v="2"/>
    <m/>
    <m/>
    <x v="0"/>
    <m/>
    <m/>
    <m/>
    <d v="1899-12-30T00:00:00"/>
    <n v="0"/>
    <n v="5"/>
    <n v="1"/>
    <n v="0"/>
    <m/>
    <m/>
    <m/>
    <m/>
    <n v="0"/>
    <m/>
    <m/>
    <m/>
    <m/>
    <m/>
    <m/>
    <m/>
    <s v=""/>
    <s v=""/>
    <s v=""/>
  </r>
  <r>
    <x v="15"/>
    <x v="2"/>
    <x v="15"/>
    <x v="3"/>
    <x v="2"/>
    <m/>
    <m/>
    <x v="0"/>
    <m/>
    <m/>
    <m/>
    <d v="1899-12-30T00:00:00"/>
    <n v="0"/>
    <n v="5"/>
    <n v="1"/>
    <n v="0"/>
    <m/>
    <m/>
    <m/>
    <m/>
    <n v="0"/>
    <m/>
    <m/>
    <m/>
    <m/>
    <m/>
    <m/>
    <m/>
    <s v=""/>
    <s v=""/>
    <s v=""/>
  </r>
  <r>
    <x v="15"/>
    <x v="2"/>
    <x v="15"/>
    <x v="4"/>
    <x v="2"/>
    <m/>
    <m/>
    <x v="0"/>
    <m/>
    <m/>
    <m/>
    <d v="1899-12-30T00:00:00"/>
    <n v="0"/>
    <n v="5"/>
    <n v="1"/>
    <n v="0"/>
    <m/>
    <m/>
    <m/>
    <m/>
    <n v="0"/>
    <m/>
    <m/>
    <m/>
    <m/>
    <m/>
    <m/>
    <m/>
    <s v=""/>
    <s v=""/>
    <s v=""/>
  </r>
  <r>
    <x v="16"/>
    <x v="2"/>
    <x v="16"/>
    <x v="0"/>
    <x v="2"/>
    <m/>
    <m/>
    <x v="0"/>
    <m/>
    <m/>
    <m/>
    <d v="1899-12-30T00:00:00"/>
    <n v="0"/>
    <n v="5"/>
    <n v="1"/>
    <n v="0"/>
    <m/>
    <m/>
    <m/>
    <m/>
    <n v="0"/>
    <n v="0"/>
    <n v="1216.9000000000012"/>
    <n v="1699"/>
    <s v="0"/>
    <s v="0"/>
    <n v="0"/>
    <s v="0"/>
    <s v=""/>
    <s v=""/>
    <s v=""/>
  </r>
  <r>
    <x v="16"/>
    <x v="2"/>
    <x v="16"/>
    <x v="1"/>
    <x v="2"/>
    <m/>
    <m/>
    <x v="0"/>
    <m/>
    <m/>
    <m/>
    <d v="1899-12-30T00:00:00"/>
    <n v="0"/>
    <n v="5"/>
    <n v="1"/>
    <n v="0"/>
    <m/>
    <m/>
    <m/>
    <m/>
    <n v="0"/>
    <m/>
    <m/>
    <m/>
    <m/>
    <m/>
    <m/>
    <m/>
    <s v=""/>
    <s v=""/>
    <s v=""/>
  </r>
  <r>
    <x v="16"/>
    <x v="2"/>
    <x v="16"/>
    <x v="2"/>
    <x v="2"/>
    <m/>
    <m/>
    <x v="0"/>
    <m/>
    <m/>
    <m/>
    <d v="1899-12-30T00:00:00"/>
    <n v="0"/>
    <n v="5"/>
    <n v="1"/>
    <n v="0"/>
    <m/>
    <m/>
    <m/>
    <m/>
    <n v="0"/>
    <m/>
    <m/>
    <m/>
    <m/>
    <m/>
    <m/>
    <m/>
    <s v=""/>
    <s v=""/>
    <s v=""/>
  </r>
  <r>
    <x v="16"/>
    <x v="2"/>
    <x v="16"/>
    <x v="3"/>
    <x v="2"/>
    <m/>
    <m/>
    <x v="0"/>
    <m/>
    <m/>
    <m/>
    <d v="1899-12-30T00:00:00"/>
    <n v="0"/>
    <n v="5"/>
    <n v="1"/>
    <n v="0"/>
    <m/>
    <m/>
    <m/>
    <m/>
    <n v="0"/>
    <m/>
    <m/>
    <m/>
    <m/>
    <m/>
    <m/>
    <m/>
    <s v=""/>
    <s v=""/>
    <s v=""/>
  </r>
  <r>
    <x v="16"/>
    <x v="2"/>
    <x v="16"/>
    <x v="4"/>
    <x v="2"/>
    <m/>
    <m/>
    <x v="0"/>
    <m/>
    <m/>
    <m/>
    <d v="1899-12-30T00:00:00"/>
    <n v="0"/>
    <n v="5"/>
    <n v="1"/>
    <n v="0"/>
    <m/>
    <m/>
    <m/>
    <m/>
    <n v="0"/>
    <m/>
    <m/>
    <m/>
    <m/>
    <m/>
    <m/>
    <m/>
    <s v=""/>
    <s v=""/>
    <s v=""/>
  </r>
  <r>
    <x v="17"/>
    <x v="3"/>
    <x v="17"/>
    <x v="0"/>
    <x v="2"/>
    <m/>
    <m/>
    <x v="0"/>
    <m/>
    <m/>
    <m/>
    <d v="1899-12-30T00:00:00"/>
    <n v="0"/>
    <n v="5"/>
    <n v="1"/>
    <n v="0"/>
    <m/>
    <m/>
    <m/>
    <m/>
    <n v="0"/>
    <n v="0"/>
    <n v="1216.9000000000012"/>
    <n v="1699"/>
    <s v="0"/>
    <s v="0"/>
    <n v="0"/>
    <s v="0"/>
    <s v=""/>
    <s v=""/>
    <s v=""/>
  </r>
  <r>
    <x v="17"/>
    <x v="3"/>
    <x v="17"/>
    <x v="1"/>
    <x v="2"/>
    <m/>
    <m/>
    <x v="0"/>
    <m/>
    <m/>
    <m/>
    <d v="1899-12-30T00:00:00"/>
    <n v="0"/>
    <n v="5"/>
    <n v="1"/>
    <n v="0"/>
    <m/>
    <m/>
    <m/>
    <m/>
    <n v="0"/>
    <m/>
    <m/>
    <m/>
    <m/>
    <m/>
    <m/>
    <m/>
    <s v=""/>
    <s v=""/>
    <s v=""/>
  </r>
  <r>
    <x v="17"/>
    <x v="3"/>
    <x v="17"/>
    <x v="2"/>
    <x v="2"/>
    <m/>
    <m/>
    <x v="0"/>
    <m/>
    <m/>
    <m/>
    <d v="1899-12-30T00:00:00"/>
    <n v="0"/>
    <n v="5"/>
    <n v="1"/>
    <n v="0"/>
    <m/>
    <m/>
    <m/>
    <m/>
    <n v="0"/>
    <m/>
    <m/>
    <m/>
    <m/>
    <m/>
    <m/>
    <m/>
    <s v=""/>
    <s v=""/>
    <s v=""/>
  </r>
  <r>
    <x v="17"/>
    <x v="3"/>
    <x v="17"/>
    <x v="3"/>
    <x v="2"/>
    <m/>
    <m/>
    <x v="0"/>
    <m/>
    <m/>
    <m/>
    <d v="1899-12-30T00:00:00"/>
    <n v="0"/>
    <n v="5"/>
    <n v="1"/>
    <n v="0"/>
    <m/>
    <m/>
    <m/>
    <m/>
    <n v="0"/>
    <m/>
    <m/>
    <m/>
    <m/>
    <m/>
    <m/>
    <m/>
    <s v=""/>
    <s v=""/>
    <s v=""/>
  </r>
  <r>
    <x v="17"/>
    <x v="3"/>
    <x v="17"/>
    <x v="4"/>
    <x v="2"/>
    <m/>
    <m/>
    <x v="0"/>
    <m/>
    <m/>
    <m/>
    <d v="1899-12-30T00:00:00"/>
    <n v="0"/>
    <n v="5"/>
    <n v="1"/>
    <n v="0"/>
    <m/>
    <m/>
    <m/>
    <m/>
    <n v="0"/>
    <m/>
    <m/>
    <m/>
    <m/>
    <m/>
    <m/>
    <m/>
    <s v=""/>
    <s v=""/>
    <s v=""/>
  </r>
  <r>
    <x v="18"/>
    <x v="3"/>
    <x v="18"/>
    <x v="0"/>
    <x v="2"/>
    <m/>
    <m/>
    <x v="0"/>
    <m/>
    <m/>
    <m/>
    <d v="1899-12-30T00:00:00"/>
    <n v="0"/>
    <n v="5"/>
    <n v="1"/>
    <n v="0"/>
    <m/>
    <m/>
    <m/>
    <m/>
    <n v="0"/>
    <n v="0"/>
    <n v="1216.9000000000012"/>
    <n v="1699"/>
    <s v="0"/>
    <s v="0"/>
    <n v="0"/>
    <s v="0"/>
    <s v=""/>
    <s v=""/>
    <s v=""/>
  </r>
  <r>
    <x v="18"/>
    <x v="3"/>
    <x v="18"/>
    <x v="1"/>
    <x v="2"/>
    <m/>
    <m/>
    <x v="0"/>
    <m/>
    <m/>
    <m/>
    <d v="1899-12-30T00:00:00"/>
    <n v="0"/>
    <n v="5"/>
    <n v="1"/>
    <n v="0"/>
    <m/>
    <m/>
    <m/>
    <m/>
    <n v="0"/>
    <m/>
    <m/>
    <m/>
    <m/>
    <m/>
    <m/>
    <m/>
    <s v=""/>
    <s v=""/>
    <s v=""/>
  </r>
  <r>
    <x v="18"/>
    <x v="3"/>
    <x v="18"/>
    <x v="2"/>
    <x v="2"/>
    <m/>
    <m/>
    <x v="0"/>
    <m/>
    <m/>
    <m/>
    <d v="1899-12-30T00:00:00"/>
    <n v="0"/>
    <n v="5"/>
    <n v="1"/>
    <n v="0"/>
    <m/>
    <m/>
    <m/>
    <m/>
    <n v="0"/>
    <m/>
    <m/>
    <m/>
    <m/>
    <m/>
    <m/>
    <m/>
    <s v=""/>
    <s v=""/>
    <s v=""/>
  </r>
  <r>
    <x v="18"/>
    <x v="3"/>
    <x v="18"/>
    <x v="3"/>
    <x v="2"/>
    <m/>
    <m/>
    <x v="0"/>
    <m/>
    <m/>
    <m/>
    <d v="1899-12-30T00:00:00"/>
    <n v="0"/>
    <n v="5"/>
    <n v="1"/>
    <n v="0"/>
    <m/>
    <m/>
    <m/>
    <m/>
    <n v="0"/>
    <m/>
    <m/>
    <m/>
    <m/>
    <m/>
    <m/>
    <m/>
    <s v=""/>
    <s v=""/>
    <s v=""/>
  </r>
  <r>
    <x v="18"/>
    <x v="3"/>
    <x v="18"/>
    <x v="4"/>
    <x v="2"/>
    <m/>
    <m/>
    <x v="0"/>
    <m/>
    <m/>
    <m/>
    <d v="1899-12-30T00:00:00"/>
    <n v="0"/>
    <n v="5"/>
    <n v="1"/>
    <n v="0"/>
    <m/>
    <m/>
    <m/>
    <m/>
    <n v="0"/>
    <m/>
    <m/>
    <m/>
    <m/>
    <m/>
    <m/>
    <m/>
    <s v=""/>
    <s v=""/>
    <s v=""/>
  </r>
  <r>
    <x v="19"/>
    <x v="3"/>
    <x v="19"/>
    <x v="0"/>
    <x v="0"/>
    <d v="2020-12-09T09:49:50"/>
    <n v="1932.2"/>
    <x v="0"/>
    <d v="2020-12-09T10:02:03"/>
    <n v="1929.6"/>
    <m/>
    <d v="1899-12-30T00:12:13"/>
    <n v="2.6000000000001364"/>
    <n v="5"/>
    <n v="1"/>
    <n v="0.8"/>
    <m/>
    <m/>
    <m/>
    <m/>
    <n v="12.200000000000681"/>
    <n v="14.000000000001819"/>
    <n v="1230.900000000003"/>
    <n v="1749"/>
    <n v="10"/>
    <n v="50"/>
    <n v="1.5806451612903982"/>
    <n v="0.4"/>
    <n v="1"/>
    <n v="2.6000000000001364"/>
    <s v=""/>
  </r>
  <r>
    <x v="19"/>
    <x v="3"/>
    <x v="19"/>
    <x v="1"/>
    <x v="1"/>
    <d v="2020-12-09T11:15:04"/>
    <n v="1925"/>
    <x v="0"/>
    <d v="2020-12-09T11:34:04"/>
    <n v="1921.9"/>
    <m/>
    <d v="1899-12-30T00:19:00"/>
    <n v="-3.0999999999999091"/>
    <n v="5"/>
    <n v="1"/>
    <n v="0.8"/>
    <m/>
    <m/>
    <m/>
    <m/>
    <n v="-16.299999999999546"/>
    <m/>
    <m/>
    <m/>
    <m/>
    <m/>
    <m/>
    <m/>
    <n v="1"/>
    <s v=""/>
    <n v="-3.0999999999999091"/>
  </r>
  <r>
    <x v="19"/>
    <x v="3"/>
    <x v="19"/>
    <x v="2"/>
    <x v="0"/>
    <d v="2020-12-09T11:48:59"/>
    <n v="1920.9"/>
    <x v="0"/>
    <d v="2020-12-09T11:55:23"/>
    <n v="1924"/>
    <m/>
    <d v="1899-12-30T00:06:24"/>
    <n v="-3.0999999999999091"/>
    <n v="5"/>
    <n v="1"/>
    <n v="0.8"/>
    <m/>
    <m/>
    <m/>
    <m/>
    <n v="-16.299999999999546"/>
    <m/>
    <m/>
    <m/>
    <m/>
    <m/>
    <m/>
    <m/>
    <n v="1"/>
    <s v=""/>
    <n v="-3.0999999999999091"/>
  </r>
  <r>
    <x v="19"/>
    <x v="3"/>
    <x v="19"/>
    <x v="3"/>
    <x v="1"/>
    <d v="2020-12-09T11:55:34"/>
    <n v="1923.9"/>
    <x v="0"/>
    <d v="2020-12-09T12:17:23"/>
    <n v="1923.9"/>
    <m/>
    <d v="1899-12-30T00:21:49"/>
    <n v="0"/>
    <n v="5"/>
    <n v="1"/>
    <n v="0.8"/>
    <m/>
    <m/>
    <m/>
    <m/>
    <n v="-0.8"/>
    <m/>
    <m/>
    <m/>
    <m/>
    <m/>
    <m/>
    <m/>
    <n v="1"/>
    <s v=""/>
    <s v=""/>
  </r>
  <r>
    <x v="19"/>
    <x v="3"/>
    <x v="19"/>
    <x v="4"/>
    <x v="0"/>
    <d v="2020-12-09T12:36:46"/>
    <n v="1919.8"/>
    <x v="0"/>
    <d v="2020-12-09T12:49:19"/>
    <n v="1912.6"/>
    <m/>
    <d v="1899-12-30T00:12:33"/>
    <n v="7.2000000000000455"/>
    <n v="5"/>
    <n v="1"/>
    <n v="0.8"/>
    <m/>
    <m/>
    <m/>
    <m/>
    <n v="35.20000000000023"/>
    <m/>
    <m/>
    <m/>
    <m/>
    <m/>
    <m/>
    <m/>
    <n v="1"/>
    <n v="7.2000000000000455"/>
    <s v=""/>
  </r>
  <r>
    <x v="20"/>
    <x v="3"/>
    <x v="20"/>
    <x v="0"/>
    <x v="1"/>
    <d v="2020-12-10T09:42:06"/>
    <n v="1894.8"/>
    <x v="0"/>
    <d v="2020-12-10T09:59:33"/>
    <n v="1901.7"/>
    <m/>
    <d v="1899-12-30T00:17:27"/>
    <n v="6.9000000000000909"/>
    <n v="5"/>
    <n v="1"/>
    <n v="0.8"/>
    <m/>
    <m/>
    <m/>
    <m/>
    <n v="33.700000000000458"/>
    <n v="26.100000000000229"/>
    <n v="1257.0000000000032"/>
    <n v="1799"/>
    <n v="10"/>
    <n v="50"/>
    <n v="2.5405405405405337"/>
    <n v="0.66666666666666663"/>
    <n v="1"/>
    <n v="6.9000000000000909"/>
    <s v=""/>
  </r>
  <r>
    <x v="20"/>
    <x v="3"/>
    <x v="20"/>
    <x v="1"/>
    <x v="1"/>
    <d v="2020-12-10T11:23:27"/>
    <n v="1909.8"/>
    <x v="0"/>
    <d v="2020-12-10T11:34:06"/>
    <n v="1906.1"/>
    <m/>
    <d v="1899-12-30T00:10:39"/>
    <n v="-3.7000000000000455"/>
    <n v="5"/>
    <n v="1"/>
    <n v="0.8"/>
    <m/>
    <m/>
    <m/>
    <m/>
    <n v="-19.300000000000228"/>
    <m/>
    <m/>
    <m/>
    <m/>
    <m/>
    <m/>
    <m/>
    <n v="1"/>
    <s v=""/>
    <n v="-3.7000000000000455"/>
  </r>
  <r>
    <x v="20"/>
    <x v="3"/>
    <x v="20"/>
    <x v="2"/>
    <x v="1"/>
    <d v="2020-12-10T12:15:06"/>
    <n v="1909.4"/>
    <x v="0"/>
    <d v="2020-12-10T12:49:16"/>
    <n v="1911.9"/>
    <m/>
    <d v="1899-12-30T00:34:10"/>
    <n v="2.5"/>
    <n v="5"/>
    <n v="1"/>
    <n v="0.8"/>
    <m/>
    <m/>
    <m/>
    <m/>
    <n v="11.7"/>
    <m/>
    <m/>
    <m/>
    <m/>
    <m/>
    <m/>
    <m/>
    <n v="1"/>
    <n v="2.5"/>
    <s v=""/>
  </r>
  <r>
    <x v="20"/>
    <x v="3"/>
    <x v="20"/>
    <x v="3"/>
    <x v="2"/>
    <m/>
    <m/>
    <x v="0"/>
    <m/>
    <m/>
    <m/>
    <d v="1899-12-30T00:00:00"/>
    <n v="0"/>
    <n v="5"/>
    <n v="1"/>
    <n v="0"/>
    <m/>
    <m/>
    <m/>
    <m/>
    <n v="0"/>
    <m/>
    <m/>
    <m/>
    <m/>
    <m/>
    <m/>
    <m/>
    <s v=""/>
    <s v=""/>
    <s v=""/>
  </r>
  <r>
    <x v="20"/>
    <x v="3"/>
    <x v="20"/>
    <x v="4"/>
    <x v="2"/>
    <m/>
    <m/>
    <x v="0"/>
    <m/>
    <m/>
    <m/>
    <d v="1899-12-30T00:00:00"/>
    <n v="0"/>
    <n v="5"/>
    <n v="1"/>
    <n v="0"/>
    <m/>
    <m/>
    <m/>
    <m/>
    <n v="0"/>
    <m/>
    <m/>
    <m/>
    <m/>
    <m/>
    <m/>
    <m/>
    <s v=""/>
    <s v=""/>
    <s v=""/>
  </r>
  <r>
    <x v="21"/>
    <x v="3"/>
    <x v="21"/>
    <x v="0"/>
    <x v="1"/>
    <d v="2020-12-11T09:55:04"/>
    <n v="1916.5"/>
    <x v="0"/>
    <d v="2020-12-11T10:02:55"/>
    <n v="1917.4"/>
    <m/>
    <d v="1899-12-30T00:07:51"/>
    <n v="0.90000000000009095"/>
    <n v="5"/>
    <n v="1"/>
    <n v="0.8"/>
    <m/>
    <m/>
    <m/>
    <m/>
    <n v="3.7000000000004549"/>
    <n v="-14.500000000000684"/>
    <n v="1242.5000000000025"/>
    <n v="1849"/>
    <n v="10"/>
    <n v="50"/>
    <n v="0.66129032258062559"/>
    <n v="0.6"/>
    <n v="1"/>
    <n v="0.90000000000009095"/>
    <s v=""/>
  </r>
  <r>
    <x v="21"/>
    <x v="3"/>
    <x v="21"/>
    <x v="1"/>
    <x v="1"/>
    <d v="2020-12-11T11:43:54"/>
    <n v="1899.4"/>
    <x v="0"/>
    <d v="2020-12-11T11:44:10"/>
    <n v="1899.6"/>
    <m/>
    <d v="1899-12-30T00:00:16"/>
    <n v="0.1999999999998181"/>
    <n v="5"/>
    <n v="1"/>
    <n v="0.8"/>
    <m/>
    <m/>
    <m/>
    <m/>
    <n v="0.19999999999909046"/>
    <m/>
    <m/>
    <m/>
    <m/>
    <m/>
    <m/>
    <m/>
    <n v="1"/>
    <n v="0.1999999999998181"/>
    <s v=""/>
  </r>
  <r>
    <x v="21"/>
    <x v="3"/>
    <x v="21"/>
    <x v="2"/>
    <x v="0"/>
    <d v="2020-12-11T11:45:06"/>
    <n v="1898.8"/>
    <x v="0"/>
    <d v="2020-12-11T11:47:00"/>
    <n v="1902"/>
    <m/>
    <d v="1899-12-30T00:01:54"/>
    <n v="-3.2000000000000455"/>
    <n v="5"/>
    <n v="1"/>
    <n v="0.8"/>
    <m/>
    <m/>
    <m/>
    <m/>
    <n v="-16.800000000000228"/>
    <m/>
    <m/>
    <m/>
    <m/>
    <m/>
    <m/>
    <m/>
    <n v="1"/>
    <s v=""/>
    <n v="-3.2000000000000455"/>
  </r>
  <r>
    <x v="21"/>
    <x v="3"/>
    <x v="21"/>
    <x v="3"/>
    <x v="0"/>
    <d v="2020-12-11T12:18:32"/>
    <n v="1895.5"/>
    <x v="0"/>
    <d v="2020-12-11T12:22:32"/>
    <n v="1892.5"/>
    <m/>
    <d v="1899-12-30T00:04:00"/>
    <n v="3"/>
    <n v="5"/>
    <n v="1"/>
    <n v="0.8"/>
    <m/>
    <m/>
    <m/>
    <m/>
    <n v="14.2"/>
    <m/>
    <m/>
    <m/>
    <m/>
    <m/>
    <m/>
    <m/>
    <n v="1"/>
    <n v="3"/>
    <s v=""/>
  </r>
  <r>
    <x v="21"/>
    <x v="3"/>
    <x v="21"/>
    <x v="4"/>
    <x v="1"/>
    <d v="2020-12-11T12:30:20"/>
    <n v="1897.9"/>
    <x v="0"/>
    <d v="2020-12-11T12:35:17"/>
    <n v="1894.9"/>
    <m/>
    <d v="1899-12-30T00:04:57"/>
    <n v="-3"/>
    <n v="5"/>
    <n v="1"/>
    <n v="0.8"/>
    <m/>
    <m/>
    <m/>
    <m/>
    <n v="-15.8"/>
    <m/>
    <m/>
    <m/>
    <m/>
    <m/>
    <m/>
    <m/>
    <n v="1"/>
    <s v=""/>
    <n v="-3"/>
  </r>
  <r>
    <x v="22"/>
    <x v="3"/>
    <x v="22"/>
    <x v="0"/>
    <x v="2"/>
    <m/>
    <m/>
    <x v="0"/>
    <m/>
    <m/>
    <m/>
    <d v="1899-12-30T00:00:00"/>
    <n v="0"/>
    <n v="5"/>
    <n v="1"/>
    <n v="0"/>
    <m/>
    <m/>
    <m/>
    <m/>
    <n v="0"/>
    <n v="0"/>
    <n v="1242.5000000000025"/>
    <n v="1849"/>
    <s v="0"/>
    <s v="0"/>
    <n v="0"/>
    <s v="0"/>
    <s v=""/>
    <s v=""/>
    <s v=""/>
  </r>
  <r>
    <x v="22"/>
    <x v="3"/>
    <x v="22"/>
    <x v="1"/>
    <x v="2"/>
    <m/>
    <m/>
    <x v="0"/>
    <m/>
    <m/>
    <m/>
    <d v="1899-12-30T00:00:00"/>
    <n v="0"/>
    <n v="5"/>
    <n v="1"/>
    <n v="0"/>
    <m/>
    <m/>
    <m/>
    <m/>
    <n v="0"/>
    <m/>
    <m/>
    <m/>
    <m/>
    <m/>
    <m/>
    <m/>
    <s v=""/>
    <s v=""/>
    <s v=""/>
  </r>
  <r>
    <x v="22"/>
    <x v="3"/>
    <x v="22"/>
    <x v="2"/>
    <x v="2"/>
    <m/>
    <m/>
    <x v="0"/>
    <m/>
    <m/>
    <m/>
    <d v="1899-12-30T00:00:00"/>
    <n v="0"/>
    <n v="5"/>
    <n v="1"/>
    <n v="0"/>
    <m/>
    <m/>
    <m/>
    <m/>
    <n v="0"/>
    <m/>
    <m/>
    <m/>
    <m/>
    <m/>
    <m/>
    <m/>
    <s v=""/>
    <s v=""/>
    <s v=""/>
  </r>
  <r>
    <x v="22"/>
    <x v="3"/>
    <x v="22"/>
    <x v="3"/>
    <x v="2"/>
    <m/>
    <m/>
    <x v="0"/>
    <m/>
    <m/>
    <m/>
    <d v="1899-12-30T00:00:00"/>
    <n v="0"/>
    <n v="5"/>
    <n v="1"/>
    <n v="0"/>
    <m/>
    <m/>
    <m/>
    <m/>
    <n v="0"/>
    <m/>
    <m/>
    <m/>
    <m/>
    <m/>
    <m/>
    <m/>
    <s v=""/>
    <s v=""/>
    <s v=""/>
  </r>
  <r>
    <x v="22"/>
    <x v="3"/>
    <x v="22"/>
    <x v="4"/>
    <x v="2"/>
    <m/>
    <m/>
    <x v="0"/>
    <m/>
    <m/>
    <m/>
    <d v="1899-12-30T00:00:00"/>
    <n v="0"/>
    <n v="5"/>
    <n v="1"/>
    <n v="0"/>
    <m/>
    <m/>
    <m/>
    <m/>
    <n v="0"/>
    <m/>
    <m/>
    <m/>
    <m/>
    <m/>
    <m/>
    <m/>
    <s v=""/>
    <s v=""/>
    <s v=""/>
  </r>
  <r>
    <x v="23"/>
    <x v="3"/>
    <x v="23"/>
    <x v="0"/>
    <x v="2"/>
    <m/>
    <m/>
    <x v="0"/>
    <m/>
    <m/>
    <m/>
    <d v="1899-12-30T00:00:00"/>
    <n v="0"/>
    <n v="5"/>
    <n v="1"/>
    <n v="0"/>
    <m/>
    <m/>
    <m/>
    <m/>
    <n v="0"/>
    <n v="0"/>
    <n v="1242.5000000000025"/>
    <n v="1849"/>
    <s v="0"/>
    <s v="0"/>
    <n v="0"/>
    <s v="0"/>
    <s v=""/>
    <s v=""/>
    <s v=""/>
  </r>
  <r>
    <x v="23"/>
    <x v="3"/>
    <x v="23"/>
    <x v="1"/>
    <x v="2"/>
    <m/>
    <m/>
    <x v="0"/>
    <m/>
    <m/>
    <m/>
    <d v="1899-12-30T00:00:00"/>
    <n v="0"/>
    <n v="5"/>
    <n v="1"/>
    <n v="0"/>
    <m/>
    <m/>
    <m/>
    <m/>
    <n v="0"/>
    <m/>
    <m/>
    <m/>
    <m/>
    <m/>
    <m/>
    <m/>
    <s v=""/>
    <s v=""/>
    <s v=""/>
  </r>
  <r>
    <x v="23"/>
    <x v="3"/>
    <x v="23"/>
    <x v="2"/>
    <x v="2"/>
    <m/>
    <m/>
    <x v="0"/>
    <m/>
    <m/>
    <m/>
    <d v="1899-12-30T00:00:00"/>
    <n v="0"/>
    <n v="5"/>
    <n v="1"/>
    <n v="0"/>
    <m/>
    <m/>
    <m/>
    <m/>
    <n v="0"/>
    <m/>
    <m/>
    <m/>
    <m/>
    <m/>
    <m/>
    <m/>
    <s v=""/>
    <s v=""/>
    <s v=""/>
  </r>
  <r>
    <x v="23"/>
    <x v="3"/>
    <x v="23"/>
    <x v="3"/>
    <x v="2"/>
    <m/>
    <m/>
    <x v="0"/>
    <m/>
    <m/>
    <m/>
    <d v="1899-12-30T00:00:00"/>
    <n v="0"/>
    <n v="5"/>
    <n v="1"/>
    <n v="0"/>
    <m/>
    <m/>
    <m/>
    <m/>
    <n v="0"/>
    <m/>
    <m/>
    <m/>
    <m/>
    <m/>
    <m/>
    <m/>
    <s v=""/>
    <s v=""/>
    <s v=""/>
  </r>
  <r>
    <x v="23"/>
    <x v="3"/>
    <x v="23"/>
    <x v="4"/>
    <x v="2"/>
    <m/>
    <m/>
    <x v="0"/>
    <m/>
    <m/>
    <m/>
    <d v="1899-12-30T00:00:00"/>
    <n v="0"/>
    <n v="5"/>
    <n v="1"/>
    <n v="0"/>
    <m/>
    <m/>
    <m/>
    <m/>
    <n v="0"/>
    <m/>
    <m/>
    <m/>
    <m/>
    <m/>
    <m/>
    <m/>
    <s v=""/>
    <s v=""/>
    <s v=""/>
  </r>
  <r>
    <x v="24"/>
    <x v="4"/>
    <x v="24"/>
    <x v="0"/>
    <x v="2"/>
    <m/>
    <m/>
    <x v="0"/>
    <m/>
    <m/>
    <m/>
    <d v="1899-12-30T00:00:00"/>
    <n v="0"/>
    <n v="5"/>
    <n v="1"/>
    <n v="0"/>
    <m/>
    <m/>
    <m/>
    <m/>
    <n v="0"/>
    <n v="0"/>
    <n v="1242.5000000000025"/>
    <n v="1849"/>
    <s v="0"/>
    <s v="0"/>
    <n v="0"/>
    <s v="0"/>
    <s v=""/>
    <s v=""/>
    <s v=""/>
  </r>
  <r>
    <x v="24"/>
    <x v="4"/>
    <x v="24"/>
    <x v="1"/>
    <x v="2"/>
    <m/>
    <m/>
    <x v="0"/>
    <m/>
    <m/>
    <m/>
    <d v="1899-12-30T00:00:00"/>
    <n v="0"/>
    <n v="5"/>
    <n v="1"/>
    <n v="0"/>
    <m/>
    <m/>
    <m/>
    <m/>
    <n v="0"/>
    <m/>
    <m/>
    <m/>
    <m/>
    <m/>
    <m/>
    <m/>
    <s v=""/>
    <s v=""/>
    <s v=""/>
  </r>
  <r>
    <x v="24"/>
    <x v="4"/>
    <x v="24"/>
    <x v="2"/>
    <x v="2"/>
    <m/>
    <m/>
    <x v="0"/>
    <m/>
    <m/>
    <m/>
    <d v="1899-12-30T00:00:00"/>
    <n v="0"/>
    <n v="5"/>
    <n v="1"/>
    <n v="0"/>
    <m/>
    <m/>
    <m/>
    <m/>
    <n v="0"/>
    <m/>
    <m/>
    <m/>
    <m/>
    <m/>
    <m/>
    <m/>
    <s v=""/>
    <s v=""/>
    <s v=""/>
  </r>
  <r>
    <x v="24"/>
    <x v="4"/>
    <x v="24"/>
    <x v="3"/>
    <x v="2"/>
    <m/>
    <m/>
    <x v="0"/>
    <m/>
    <m/>
    <m/>
    <d v="1899-12-30T00:00:00"/>
    <n v="0"/>
    <n v="5"/>
    <n v="1"/>
    <n v="0"/>
    <m/>
    <m/>
    <m/>
    <m/>
    <n v="0"/>
    <m/>
    <m/>
    <m/>
    <m/>
    <m/>
    <m/>
    <m/>
    <s v=""/>
    <s v=""/>
    <s v=""/>
  </r>
  <r>
    <x v="24"/>
    <x v="4"/>
    <x v="24"/>
    <x v="4"/>
    <x v="2"/>
    <m/>
    <m/>
    <x v="0"/>
    <m/>
    <m/>
    <m/>
    <d v="1899-12-30T00:00:00"/>
    <n v="0"/>
    <n v="5"/>
    <n v="1"/>
    <n v="0"/>
    <m/>
    <m/>
    <m/>
    <m/>
    <n v="0"/>
    <m/>
    <m/>
    <m/>
    <m/>
    <m/>
    <m/>
    <m/>
    <s v=""/>
    <s v=""/>
    <s v=""/>
  </r>
  <r>
    <x v="25"/>
    <x v="4"/>
    <x v="25"/>
    <x v="0"/>
    <x v="2"/>
    <m/>
    <m/>
    <x v="0"/>
    <m/>
    <m/>
    <m/>
    <d v="1899-12-30T00:00:00"/>
    <n v="0"/>
    <n v="5"/>
    <n v="1"/>
    <n v="0"/>
    <m/>
    <m/>
    <m/>
    <m/>
    <n v="0"/>
    <n v="0"/>
    <n v="1242.5000000000025"/>
    <n v="1849"/>
    <s v="0"/>
    <s v="0"/>
    <n v="0"/>
    <s v="0"/>
    <s v=""/>
    <s v=""/>
    <s v=""/>
  </r>
  <r>
    <x v="25"/>
    <x v="4"/>
    <x v="25"/>
    <x v="1"/>
    <x v="2"/>
    <m/>
    <m/>
    <x v="0"/>
    <m/>
    <m/>
    <m/>
    <d v="1899-12-30T00:00:00"/>
    <n v="0"/>
    <n v="5"/>
    <n v="1"/>
    <n v="0"/>
    <m/>
    <m/>
    <m/>
    <m/>
    <n v="0"/>
    <m/>
    <m/>
    <m/>
    <m/>
    <m/>
    <m/>
    <m/>
    <s v=""/>
    <s v=""/>
    <s v=""/>
  </r>
  <r>
    <x v="25"/>
    <x v="4"/>
    <x v="25"/>
    <x v="2"/>
    <x v="2"/>
    <m/>
    <m/>
    <x v="0"/>
    <m/>
    <m/>
    <m/>
    <d v="1899-12-30T00:00:00"/>
    <n v="0"/>
    <n v="5"/>
    <n v="1"/>
    <n v="0"/>
    <m/>
    <m/>
    <m/>
    <m/>
    <n v="0"/>
    <m/>
    <m/>
    <m/>
    <m/>
    <m/>
    <m/>
    <m/>
    <s v=""/>
    <s v=""/>
    <s v=""/>
  </r>
  <r>
    <x v="25"/>
    <x v="4"/>
    <x v="25"/>
    <x v="3"/>
    <x v="2"/>
    <m/>
    <m/>
    <x v="0"/>
    <m/>
    <m/>
    <m/>
    <d v="1899-12-30T00:00:00"/>
    <n v="0"/>
    <n v="5"/>
    <n v="1"/>
    <n v="0"/>
    <m/>
    <m/>
    <m/>
    <m/>
    <n v="0"/>
    <m/>
    <m/>
    <m/>
    <m/>
    <m/>
    <m/>
    <m/>
    <s v=""/>
    <s v=""/>
    <s v=""/>
  </r>
  <r>
    <x v="25"/>
    <x v="4"/>
    <x v="25"/>
    <x v="4"/>
    <x v="2"/>
    <m/>
    <m/>
    <x v="0"/>
    <m/>
    <m/>
    <m/>
    <d v="1899-12-30T00:00:00"/>
    <n v="0"/>
    <n v="5"/>
    <n v="1"/>
    <n v="0"/>
    <m/>
    <m/>
    <m/>
    <m/>
    <n v="0"/>
    <m/>
    <m/>
    <m/>
    <m/>
    <m/>
    <m/>
    <m/>
    <s v=""/>
    <s v=""/>
    <s v=""/>
  </r>
  <r>
    <x v="26"/>
    <x v="4"/>
    <x v="26"/>
    <x v="0"/>
    <x v="2"/>
    <m/>
    <m/>
    <x v="0"/>
    <m/>
    <m/>
    <m/>
    <d v="1899-12-30T00:00:00"/>
    <n v="0"/>
    <n v="5"/>
    <n v="1"/>
    <n v="0"/>
    <m/>
    <m/>
    <m/>
    <m/>
    <n v="0"/>
    <n v="0"/>
    <n v="1242.5000000000025"/>
    <n v="1849"/>
    <s v="0"/>
    <s v="0"/>
    <n v="0"/>
    <s v="0"/>
    <s v=""/>
    <s v=""/>
    <s v=""/>
  </r>
  <r>
    <x v="26"/>
    <x v="4"/>
    <x v="26"/>
    <x v="1"/>
    <x v="2"/>
    <m/>
    <m/>
    <x v="0"/>
    <m/>
    <m/>
    <m/>
    <d v="1899-12-30T00:00:00"/>
    <n v="0"/>
    <n v="5"/>
    <n v="1"/>
    <n v="0"/>
    <m/>
    <m/>
    <m/>
    <m/>
    <n v="0"/>
    <m/>
    <m/>
    <m/>
    <m/>
    <m/>
    <m/>
    <m/>
    <s v=""/>
    <s v=""/>
    <s v=""/>
  </r>
  <r>
    <x v="26"/>
    <x v="4"/>
    <x v="26"/>
    <x v="2"/>
    <x v="2"/>
    <m/>
    <m/>
    <x v="0"/>
    <m/>
    <m/>
    <m/>
    <d v="1899-12-30T00:00:00"/>
    <n v="0"/>
    <n v="5"/>
    <n v="1"/>
    <n v="0"/>
    <m/>
    <m/>
    <m/>
    <m/>
    <n v="0"/>
    <m/>
    <m/>
    <m/>
    <m/>
    <m/>
    <m/>
    <m/>
    <s v=""/>
    <s v=""/>
    <s v=""/>
  </r>
  <r>
    <x v="26"/>
    <x v="4"/>
    <x v="26"/>
    <x v="3"/>
    <x v="2"/>
    <m/>
    <m/>
    <x v="0"/>
    <m/>
    <m/>
    <m/>
    <d v="1899-12-30T00:00:00"/>
    <n v="0"/>
    <n v="5"/>
    <n v="1"/>
    <n v="0"/>
    <m/>
    <m/>
    <m/>
    <m/>
    <n v="0"/>
    <m/>
    <m/>
    <m/>
    <m/>
    <m/>
    <m/>
    <m/>
    <s v=""/>
    <s v=""/>
    <s v=""/>
  </r>
  <r>
    <x v="26"/>
    <x v="4"/>
    <x v="26"/>
    <x v="4"/>
    <x v="2"/>
    <m/>
    <m/>
    <x v="0"/>
    <m/>
    <m/>
    <m/>
    <d v="1899-12-30T00:00:00"/>
    <n v="0"/>
    <n v="5"/>
    <n v="1"/>
    <n v="0"/>
    <m/>
    <m/>
    <m/>
    <m/>
    <n v="0"/>
    <m/>
    <m/>
    <m/>
    <m/>
    <m/>
    <m/>
    <m/>
    <s v=""/>
    <s v=""/>
    <s v=""/>
  </r>
  <r>
    <x v="27"/>
    <x v="4"/>
    <x v="27"/>
    <x v="0"/>
    <x v="2"/>
    <m/>
    <m/>
    <x v="0"/>
    <m/>
    <m/>
    <m/>
    <d v="1899-12-30T00:00:00"/>
    <n v="0"/>
    <n v="5"/>
    <n v="1"/>
    <n v="0"/>
    <m/>
    <m/>
    <m/>
    <m/>
    <n v="0"/>
    <n v="0"/>
    <n v="1242.5000000000025"/>
    <n v="1849"/>
    <s v="0"/>
    <s v="0"/>
    <n v="0"/>
    <s v="0"/>
    <s v=""/>
    <s v=""/>
    <s v=""/>
  </r>
  <r>
    <x v="27"/>
    <x v="4"/>
    <x v="27"/>
    <x v="1"/>
    <x v="2"/>
    <m/>
    <m/>
    <x v="0"/>
    <m/>
    <m/>
    <m/>
    <d v="1899-12-30T00:00:00"/>
    <n v="0"/>
    <n v="5"/>
    <n v="1"/>
    <n v="0"/>
    <m/>
    <m/>
    <m/>
    <m/>
    <n v="0"/>
    <m/>
    <m/>
    <m/>
    <m/>
    <m/>
    <m/>
    <m/>
    <s v=""/>
    <s v=""/>
    <s v=""/>
  </r>
  <r>
    <x v="27"/>
    <x v="4"/>
    <x v="27"/>
    <x v="2"/>
    <x v="2"/>
    <m/>
    <m/>
    <x v="0"/>
    <m/>
    <m/>
    <m/>
    <d v="1899-12-30T00:00:00"/>
    <n v="0"/>
    <n v="5"/>
    <n v="1"/>
    <n v="0"/>
    <m/>
    <m/>
    <m/>
    <m/>
    <n v="0"/>
    <m/>
    <m/>
    <m/>
    <m/>
    <m/>
    <m/>
    <m/>
    <s v=""/>
    <s v=""/>
    <s v=""/>
  </r>
  <r>
    <x v="27"/>
    <x v="4"/>
    <x v="27"/>
    <x v="3"/>
    <x v="2"/>
    <m/>
    <m/>
    <x v="0"/>
    <m/>
    <m/>
    <m/>
    <d v="1899-12-30T00:00:00"/>
    <n v="0"/>
    <n v="5"/>
    <n v="1"/>
    <n v="0"/>
    <m/>
    <m/>
    <m/>
    <m/>
    <n v="0"/>
    <m/>
    <m/>
    <m/>
    <m/>
    <m/>
    <m/>
    <m/>
    <s v=""/>
    <s v=""/>
    <s v=""/>
  </r>
  <r>
    <x v="27"/>
    <x v="4"/>
    <x v="27"/>
    <x v="4"/>
    <x v="2"/>
    <m/>
    <m/>
    <x v="0"/>
    <m/>
    <m/>
    <m/>
    <d v="1899-12-30T00:00:00"/>
    <n v="0"/>
    <n v="5"/>
    <n v="1"/>
    <n v="0"/>
    <m/>
    <m/>
    <m/>
    <m/>
    <n v="0"/>
    <m/>
    <m/>
    <m/>
    <m/>
    <m/>
    <m/>
    <m/>
    <s v=""/>
    <s v=""/>
    <s v=""/>
  </r>
  <r>
    <x v="28"/>
    <x v="4"/>
    <x v="28"/>
    <x v="0"/>
    <x v="2"/>
    <m/>
    <m/>
    <x v="0"/>
    <m/>
    <m/>
    <m/>
    <d v="1899-12-30T00:00:00"/>
    <n v="0"/>
    <n v="5"/>
    <n v="1"/>
    <n v="0"/>
    <m/>
    <m/>
    <m/>
    <m/>
    <n v="0"/>
    <n v="0"/>
    <n v="1242.5000000000025"/>
    <n v="1849"/>
    <s v="0"/>
    <s v="0"/>
    <n v="0"/>
    <s v="0"/>
    <s v=""/>
    <s v=""/>
    <s v=""/>
  </r>
  <r>
    <x v="28"/>
    <x v="4"/>
    <x v="28"/>
    <x v="1"/>
    <x v="2"/>
    <m/>
    <m/>
    <x v="0"/>
    <m/>
    <m/>
    <m/>
    <d v="1899-12-30T00:00:00"/>
    <n v="0"/>
    <n v="5"/>
    <n v="1"/>
    <n v="0"/>
    <m/>
    <m/>
    <m/>
    <m/>
    <n v="0"/>
    <m/>
    <m/>
    <m/>
    <m/>
    <m/>
    <m/>
    <m/>
    <s v=""/>
    <s v=""/>
    <s v=""/>
  </r>
  <r>
    <x v="28"/>
    <x v="4"/>
    <x v="28"/>
    <x v="2"/>
    <x v="2"/>
    <m/>
    <m/>
    <x v="0"/>
    <m/>
    <m/>
    <m/>
    <d v="1899-12-30T00:00:00"/>
    <n v="0"/>
    <n v="5"/>
    <n v="1"/>
    <n v="0"/>
    <m/>
    <m/>
    <m/>
    <m/>
    <n v="0"/>
    <m/>
    <m/>
    <m/>
    <m/>
    <m/>
    <m/>
    <m/>
    <s v=""/>
    <s v=""/>
    <s v=""/>
  </r>
  <r>
    <x v="28"/>
    <x v="4"/>
    <x v="28"/>
    <x v="3"/>
    <x v="2"/>
    <m/>
    <m/>
    <x v="0"/>
    <m/>
    <m/>
    <m/>
    <d v="1899-12-30T00:00:00"/>
    <n v="0"/>
    <n v="5"/>
    <n v="1"/>
    <n v="0"/>
    <m/>
    <m/>
    <m/>
    <m/>
    <n v="0"/>
    <m/>
    <m/>
    <m/>
    <m/>
    <m/>
    <m/>
    <m/>
    <s v=""/>
    <s v=""/>
    <s v=""/>
  </r>
  <r>
    <x v="28"/>
    <x v="4"/>
    <x v="28"/>
    <x v="4"/>
    <x v="2"/>
    <m/>
    <m/>
    <x v="0"/>
    <m/>
    <m/>
    <m/>
    <d v="1899-12-30T00:00:00"/>
    <n v="0"/>
    <n v="5"/>
    <n v="1"/>
    <n v="0"/>
    <m/>
    <m/>
    <m/>
    <m/>
    <n v="0"/>
    <m/>
    <m/>
    <m/>
    <m/>
    <m/>
    <m/>
    <m/>
    <s v=""/>
    <s v=""/>
    <s v=""/>
  </r>
  <r>
    <x v="29"/>
    <x v="4"/>
    <x v="29"/>
    <x v="5"/>
    <x v="2"/>
    <m/>
    <m/>
    <x v="0"/>
    <m/>
    <m/>
    <m/>
    <d v="1899-12-30T00:00:00"/>
    <n v="0"/>
    <m/>
    <m/>
    <n v="0"/>
    <m/>
    <m/>
    <m/>
    <m/>
    <n v="0"/>
    <m/>
    <n v="1242.5000000000025"/>
    <n v="1849"/>
    <s v="0"/>
    <s v="0"/>
    <n v="0"/>
    <s v="0"/>
    <s v=""/>
    <s v=""/>
    <s v=""/>
  </r>
  <r>
    <x v="29"/>
    <x v="4"/>
    <x v="29"/>
    <x v="5"/>
    <x v="2"/>
    <m/>
    <m/>
    <x v="0"/>
    <m/>
    <m/>
    <m/>
    <d v="1899-12-30T00:00:00"/>
    <n v="0"/>
    <m/>
    <m/>
    <n v="0"/>
    <m/>
    <m/>
    <m/>
    <m/>
    <n v="0"/>
    <m/>
    <m/>
    <m/>
    <m/>
    <m/>
    <m/>
    <m/>
    <s v=""/>
    <s v=""/>
    <s v=""/>
  </r>
  <r>
    <x v="29"/>
    <x v="4"/>
    <x v="29"/>
    <x v="5"/>
    <x v="2"/>
    <m/>
    <m/>
    <x v="0"/>
    <m/>
    <m/>
    <m/>
    <d v="1899-12-30T00:00:00"/>
    <n v="0"/>
    <m/>
    <m/>
    <n v="0"/>
    <m/>
    <m/>
    <m/>
    <m/>
    <n v="0"/>
    <m/>
    <m/>
    <m/>
    <m/>
    <m/>
    <m/>
    <m/>
    <s v=""/>
    <s v=""/>
    <s v=""/>
  </r>
  <r>
    <x v="29"/>
    <x v="4"/>
    <x v="29"/>
    <x v="5"/>
    <x v="2"/>
    <m/>
    <m/>
    <x v="0"/>
    <m/>
    <m/>
    <m/>
    <d v="1899-12-30T00:00:00"/>
    <n v="0"/>
    <m/>
    <m/>
    <n v="0"/>
    <m/>
    <m/>
    <m/>
    <m/>
    <n v="0"/>
    <m/>
    <m/>
    <m/>
    <m/>
    <m/>
    <m/>
    <m/>
    <s v=""/>
    <s v=""/>
    <s v=""/>
  </r>
  <r>
    <x v="29"/>
    <x v="4"/>
    <x v="29"/>
    <x v="5"/>
    <x v="2"/>
    <m/>
    <m/>
    <x v="0"/>
    <m/>
    <m/>
    <m/>
    <d v="1899-12-30T00:00:00"/>
    <n v="0"/>
    <m/>
    <m/>
    <n v="0"/>
    <m/>
    <m/>
    <m/>
    <m/>
    <n v="0"/>
    <m/>
    <m/>
    <m/>
    <m/>
    <m/>
    <m/>
    <m/>
    <s v=""/>
    <s v=""/>
    <s v=""/>
  </r>
  <r>
    <x v="30"/>
    <x v="4"/>
    <x v="30"/>
    <x v="5"/>
    <x v="2"/>
    <m/>
    <m/>
    <x v="0"/>
    <m/>
    <m/>
    <m/>
    <d v="1899-12-30T00:00:00"/>
    <n v="0"/>
    <m/>
    <m/>
    <n v="0"/>
    <m/>
    <m/>
    <m/>
    <m/>
    <n v="0"/>
    <m/>
    <n v="1242.5000000000025"/>
    <n v="1849"/>
    <s v="0"/>
    <s v="0"/>
    <n v="0"/>
    <s v="0"/>
    <s v=""/>
    <s v=""/>
    <s v=""/>
  </r>
  <r>
    <x v="30"/>
    <x v="4"/>
    <x v="30"/>
    <x v="5"/>
    <x v="2"/>
    <m/>
    <m/>
    <x v="0"/>
    <m/>
    <m/>
    <m/>
    <d v="1899-12-30T00:00:00"/>
    <n v="0"/>
    <m/>
    <m/>
    <n v="0"/>
    <m/>
    <m/>
    <m/>
    <m/>
    <n v="0"/>
    <m/>
    <n v="2584"/>
    <m/>
    <n v="33"/>
    <n v="49.5"/>
    <m/>
    <m/>
    <s v=""/>
    <s v=""/>
    <s v=""/>
  </r>
  <r>
    <x v="30"/>
    <x v="4"/>
    <x v="30"/>
    <x v="5"/>
    <x v="2"/>
    <m/>
    <m/>
    <x v="0"/>
    <m/>
    <m/>
    <m/>
    <d v="1899-12-30T00:00:00"/>
    <n v="0"/>
    <m/>
    <m/>
    <n v="0"/>
    <m/>
    <m/>
    <m/>
    <m/>
    <n v="0"/>
    <m/>
    <n v="2584"/>
    <m/>
    <n v="33"/>
    <n v="49.5"/>
    <m/>
    <m/>
    <s v=""/>
    <s v=""/>
    <s v=""/>
  </r>
  <r>
    <x v="30"/>
    <x v="4"/>
    <x v="30"/>
    <x v="5"/>
    <x v="2"/>
    <m/>
    <m/>
    <x v="0"/>
    <m/>
    <m/>
    <m/>
    <d v="1899-12-30T00:00:00"/>
    <n v="0"/>
    <m/>
    <m/>
    <n v="0"/>
    <m/>
    <m/>
    <m/>
    <m/>
    <n v="0"/>
    <m/>
    <n v="2584"/>
    <m/>
    <n v="33"/>
    <n v="49.5"/>
    <m/>
    <m/>
    <s v=""/>
    <s v=""/>
    <s v=""/>
  </r>
  <r>
    <x v="30"/>
    <x v="4"/>
    <x v="30"/>
    <x v="5"/>
    <x v="2"/>
    <m/>
    <m/>
    <x v="0"/>
    <m/>
    <m/>
    <m/>
    <d v="1899-12-30T00:00:00"/>
    <n v="0"/>
    <m/>
    <m/>
    <n v="0"/>
    <m/>
    <m/>
    <m/>
    <m/>
    <n v="0"/>
    <m/>
    <n v="2584"/>
    <m/>
    <n v="33"/>
    <n v="49.5"/>
    <m/>
    <m/>
    <s v=""/>
    <s v=""/>
    <s v=""/>
  </r>
  <r>
    <x v="31"/>
    <x v="5"/>
    <x v="31"/>
    <x v="0"/>
    <x v="2"/>
    <m/>
    <m/>
    <x v="0"/>
    <m/>
    <m/>
    <m/>
    <d v="1899-12-30T00:00:00"/>
    <n v="0"/>
    <n v="5"/>
    <n v="1"/>
    <n v="0"/>
    <m/>
    <m/>
    <m/>
    <m/>
    <n v="0"/>
    <n v="0"/>
    <n v="1242.5000000000025"/>
    <n v="1849"/>
    <s v="0"/>
    <s v="0"/>
    <n v="0"/>
    <s v="0"/>
    <s v=""/>
    <s v=""/>
    <s v=""/>
  </r>
  <r>
    <x v="31"/>
    <x v="5"/>
    <x v="31"/>
    <x v="1"/>
    <x v="2"/>
    <m/>
    <m/>
    <x v="0"/>
    <m/>
    <m/>
    <m/>
    <d v="1899-12-30T00:00:00"/>
    <n v="0"/>
    <n v="5"/>
    <n v="1"/>
    <n v="0"/>
    <m/>
    <m/>
    <m/>
    <m/>
    <n v="0"/>
    <m/>
    <n v="2584"/>
    <m/>
    <n v="33"/>
    <n v="49.5"/>
    <m/>
    <m/>
    <s v=""/>
    <s v=""/>
    <s v=""/>
  </r>
  <r>
    <x v="31"/>
    <x v="5"/>
    <x v="31"/>
    <x v="2"/>
    <x v="2"/>
    <m/>
    <m/>
    <x v="0"/>
    <m/>
    <m/>
    <m/>
    <d v="1899-12-30T00:00:00"/>
    <n v="0"/>
    <n v="5"/>
    <n v="1"/>
    <n v="0"/>
    <m/>
    <m/>
    <m/>
    <m/>
    <n v="0"/>
    <m/>
    <n v="2584"/>
    <m/>
    <n v="33"/>
    <n v="49.5"/>
    <m/>
    <m/>
    <s v=""/>
    <s v=""/>
    <s v=""/>
  </r>
  <r>
    <x v="31"/>
    <x v="5"/>
    <x v="31"/>
    <x v="3"/>
    <x v="2"/>
    <m/>
    <m/>
    <x v="0"/>
    <m/>
    <m/>
    <m/>
    <d v="1899-12-30T00:00:00"/>
    <n v="0"/>
    <n v="5"/>
    <n v="1"/>
    <n v="0"/>
    <m/>
    <m/>
    <m/>
    <m/>
    <n v="0"/>
    <m/>
    <n v="2584"/>
    <m/>
    <n v="33"/>
    <n v="49.5"/>
    <m/>
    <m/>
    <s v=""/>
    <s v=""/>
    <s v=""/>
  </r>
  <r>
    <x v="31"/>
    <x v="5"/>
    <x v="31"/>
    <x v="4"/>
    <x v="2"/>
    <m/>
    <m/>
    <x v="0"/>
    <m/>
    <m/>
    <m/>
    <d v="1899-12-30T00:00:00"/>
    <n v="0"/>
    <n v="5"/>
    <n v="1"/>
    <n v="0"/>
    <m/>
    <m/>
    <m/>
    <m/>
    <n v="0"/>
    <m/>
    <n v="2584"/>
    <m/>
    <n v="33"/>
    <n v="49.5"/>
    <m/>
    <m/>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4" cacheId="0" applyNumberFormats="0" applyBorderFormats="0" applyFontFormats="0" applyPatternFormats="0" applyAlignmentFormats="0" applyWidthHeightFormats="1" dataCaption="Valores" updatedVersion="4" minRefreshableVersion="3" useAutoFormatting="1" itemPrintTitles="1" createdVersion="6" indent="0" outline="1" outlineData="1" multipleFieldFilters="0" chartFormat="3">
  <location ref="P2:Q9" firstHeaderRow="1" firstDataRow="1" firstDataCol="1"/>
  <pivotFields count="31">
    <pivotField numFmtId="16" showAll="0"/>
    <pivotField axis="axisRow" showAll="0">
      <items count="16">
        <item m="1" x="14"/>
        <item m="1" x="10"/>
        <item m="1" x="6"/>
        <item m="1" x="11"/>
        <item m="1" x="7"/>
        <item m="1" x="12"/>
        <item m="1" x="8"/>
        <item m="1" x="13"/>
        <item m="1" x="9"/>
        <item x="0"/>
        <item x="1"/>
        <item x="2"/>
        <item x="3"/>
        <item x="4"/>
        <item x="5"/>
        <item t="default"/>
      </items>
    </pivotField>
    <pivotField numFmtId="168" showAll="0"/>
    <pivotField showAll="0"/>
    <pivotField showAll="0"/>
    <pivotField showAll="0"/>
    <pivotField showAll="0"/>
    <pivotField showAll="0"/>
    <pivotField showAll="0"/>
    <pivotField showAll="0"/>
    <pivotField showAll="0"/>
    <pivotField numFmtId="20" showAll="0"/>
    <pivotField numFmtId="165" showAll="0"/>
    <pivotField numFmtId="165" showAll="0"/>
    <pivotField showAll="0"/>
    <pivotField showAll="0"/>
    <pivotField showAll="0"/>
    <pivotField showAll="0"/>
    <pivotField showAll="0"/>
    <pivotField showAll="0"/>
    <pivotField numFmtId="166" showAll="0"/>
    <pivotField dataField="1" showAll="0"/>
    <pivotField showAll="0"/>
    <pivotField showAll="0"/>
    <pivotField showAll="0"/>
    <pivotField showAll="0"/>
    <pivotField showAll="0"/>
    <pivotField showAll="0"/>
    <pivotField showAll="0"/>
    <pivotField showAll="0"/>
    <pivotField showAll="0"/>
  </pivotFields>
  <rowFields count="1">
    <field x="1"/>
  </rowFields>
  <rowItems count="7">
    <i>
      <x v="9"/>
    </i>
    <i>
      <x v="10"/>
    </i>
    <i>
      <x v="11"/>
    </i>
    <i>
      <x v="12"/>
    </i>
    <i>
      <x v="13"/>
    </i>
    <i>
      <x v="14"/>
    </i>
    <i t="grand">
      <x/>
    </i>
  </rowItems>
  <colItems count="1">
    <i/>
  </colItems>
  <dataFields count="1">
    <dataField name="Suma de RESULTADO DEL DÍA" fld="21" baseField="0" baseItem="0"/>
  </dataFields>
  <formats count="1">
    <format dxfId="523">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2" cacheId="0" applyNumberFormats="0" applyBorderFormats="0" applyFontFormats="0" applyPatternFormats="0" applyAlignmentFormats="0" applyWidthHeightFormats="1" dataCaption="Valores" updatedVersion="4" minRefreshableVersion="3" useAutoFormatting="1" itemPrintTitles="1" createdVersion="6" indent="0" outline="1" outlineData="1" multipleFieldFilters="0" chartFormat="3">
  <location ref="H49:J79" firstHeaderRow="0" firstDataRow="1" firstDataCol="1" rowPageCount="1" colPageCount="1"/>
  <pivotFields count="31">
    <pivotField axis="axisRow" numFmtId="16" showAll="0">
      <items count="88">
        <item m="1" x="82"/>
        <item m="1" x="50"/>
        <item m="1" x="73"/>
        <item m="1" x="41"/>
        <item m="1" x="64"/>
        <item m="1" x="80"/>
        <item m="1" x="48"/>
        <item m="1" x="70"/>
        <item m="1" x="39"/>
        <item m="1" x="62"/>
        <item m="1" x="78"/>
        <item m="1" x="46"/>
        <item m="1" x="68"/>
        <item m="1" x="37"/>
        <item m="1" x="60"/>
        <item m="1" x="75"/>
        <item m="1" x="43"/>
        <item m="1" x="66"/>
        <item m="1" x="35"/>
        <item m="1" x="58"/>
        <item m="1" x="72"/>
        <item m="1" x="32"/>
        <item m="1" x="55"/>
        <item m="1" x="86"/>
        <item m="1" x="54"/>
        <item m="1" x="77"/>
        <item m="1" x="45"/>
        <item m="1" x="67"/>
        <item m="1" x="36"/>
        <item m="1" x="59"/>
        <item m="1" x="83"/>
        <item m="1" x="51"/>
        <item m="1" x="74"/>
        <item m="1" x="42"/>
        <item m="1" x="65"/>
        <item m="1" x="34"/>
        <item m="1" x="57"/>
        <item m="1" x="81"/>
        <item m="1" x="49"/>
        <item m="1" x="71"/>
        <item m="1" x="40"/>
        <item m="1" x="63"/>
        <item m="1" x="33"/>
        <item m="1" x="56"/>
        <item m="1" x="79"/>
        <item m="1" x="47"/>
        <item m="1" x="69"/>
        <item m="1" x="38"/>
        <item m="1" x="61"/>
        <item m="1" x="84"/>
        <item m="1" x="52"/>
        <item m="1" x="76"/>
        <item m="1" x="44"/>
        <item m="1" x="85"/>
        <item m="1" x="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Page" multipleItemSelectionAllowed="1" showAll="0">
      <items count="16">
        <item m="1" x="14"/>
        <item m="1" x="10"/>
        <item m="1" x="6"/>
        <item m="1" x="11"/>
        <item m="1" x="7"/>
        <item m="1" x="12"/>
        <item m="1" x="8"/>
        <item m="1" x="13"/>
        <item m="1" x="9"/>
        <item x="0"/>
        <item x="1"/>
        <item x="2"/>
        <item x="3"/>
        <item x="4"/>
        <item x="5"/>
        <item t="default"/>
      </items>
    </pivotField>
    <pivotField numFmtId="168" showAll="0"/>
    <pivotField showAll="0"/>
    <pivotField showAll="0"/>
    <pivotField showAll="0"/>
    <pivotField showAll="0"/>
    <pivotField showAll="0"/>
    <pivotField showAll="0"/>
    <pivotField showAll="0"/>
    <pivotField showAll="0"/>
    <pivotField numFmtId="20" showAll="0"/>
    <pivotField numFmtId="165"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dataField="1" showAll="0"/>
    <pivotField dataField="1" showAll="0"/>
    <pivotField showAll="0"/>
    <pivotField showAll="0"/>
    <pivotField showAll="0"/>
  </pivotFields>
  <rowFields count="1">
    <field x="0"/>
  </rowFields>
  <rowItems count="3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Fields count="1">
    <field x="-2"/>
  </colFields>
  <colItems count="2">
    <i>
      <x/>
    </i>
    <i i="1">
      <x v="1"/>
    </i>
  </colItems>
  <pageFields count="1">
    <pageField fld="1" hier="-1"/>
  </pageFields>
  <dataFields count="2">
    <dataField name="Suma de PF" fld="26" baseField="0" baseItem="0"/>
    <dataField name="Suma de AB" fld="27" baseField="0" baseItem="0" numFmtId="9"/>
  </dataFields>
  <formats count="3">
    <format dxfId="526">
      <pivotArea outline="0" collapsedLevelsAreSubtotals="1" fieldPosition="0"/>
    </format>
    <format dxfId="525">
      <pivotArea collapsedLevelsAreSubtotals="1" fieldPosition="0">
        <references count="2">
          <reference field="4294967294" count="1" selected="0">
            <x v="1"/>
          </reference>
          <reference field="0" count="5">
            <x v="0"/>
            <x v="1"/>
            <x v="2"/>
            <x v="3"/>
            <x v="4"/>
          </reference>
        </references>
      </pivotArea>
    </format>
    <format dxfId="524">
      <pivotArea outline="0" collapsedLevelsAreSubtotals="1" fieldPosition="0">
        <references count="1">
          <reference field="4294967294" count="1" selected="0">
            <x v="1"/>
          </reference>
        </references>
      </pivotArea>
    </format>
  </formats>
  <chartFormats count="5">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pivotArea type="data" outline="0" fieldPosition="0">
        <references count="2">
          <reference field="4294967294" count="1" selected="0">
            <x v="1"/>
          </reference>
          <reference field="0" count="1" selected="0">
            <x v="3"/>
          </reference>
        </references>
      </pivotArea>
    </chartFormat>
    <chartFormat chart="2" format="5" series="1">
      <pivotArea type="data" outline="0" fieldPosition="0">
        <references count="1">
          <reference field="4294967294" count="1" selected="0">
            <x v="1"/>
          </reference>
        </references>
      </pivotArea>
    </chartFormat>
    <chartFormat chart="2"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Dinámica1" cacheId="0" applyNumberFormats="0" applyBorderFormats="0" applyFontFormats="0" applyPatternFormats="0" applyAlignmentFormats="0" applyWidthHeightFormats="1" dataCaption="Valores" updatedVersion="4" minRefreshableVersion="3" useAutoFormatting="1" itemPrintTitles="1" createdVersion="6" indent="0" outline="1" outlineData="1" multipleFieldFilters="0" chartFormat="3">
  <location ref="H130:I131" firstHeaderRow="1" firstDataRow="1" firstDataCol="1" rowPageCount="2" colPageCount="1"/>
  <pivotFields count="31">
    <pivotField axis="axisPage" numFmtId="16" multipleItemSelectionAllowed="1" showAll="0">
      <items count="88">
        <item m="1" x="82"/>
        <item m="1" x="50"/>
        <item m="1" x="73"/>
        <item m="1" x="41"/>
        <item m="1" x="64"/>
        <item m="1" x="80"/>
        <item m="1" x="48"/>
        <item m="1" x="70"/>
        <item m="1" x="39"/>
        <item m="1" x="62"/>
        <item m="1" x="78"/>
        <item m="1" x="46"/>
        <item m="1" x="68"/>
        <item m="1" x="37"/>
        <item m="1" x="60"/>
        <item m="1" x="75"/>
        <item m="1" x="43"/>
        <item m="1" x="66"/>
        <item m="1" x="35"/>
        <item m="1" x="58"/>
        <item m="1" x="72"/>
        <item m="1" x="32"/>
        <item m="1" x="55"/>
        <item m="1" x="86"/>
        <item m="1" x="54"/>
        <item m="1" x="77"/>
        <item m="1" x="45"/>
        <item m="1" x="67"/>
        <item m="1" x="36"/>
        <item m="1" x="59"/>
        <item m="1" x="83"/>
        <item m="1" x="51"/>
        <item m="1" x="74"/>
        <item m="1" x="42"/>
        <item m="1" x="65"/>
        <item m="1" x="34"/>
        <item m="1" x="57"/>
        <item m="1" x="81"/>
        <item m="1" x="49"/>
        <item m="1" x="71"/>
        <item m="1" x="40"/>
        <item m="1" x="63"/>
        <item m="1" x="33"/>
        <item m="1" x="56"/>
        <item m="1" x="79"/>
        <item m="1" x="47"/>
        <item m="1" x="69"/>
        <item m="1" x="38"/>
        <item m="1" x="61"/>
        <item m="1" x="84"/>
        <item m="1" x="52"/>
        <item m="1" x="76"/>
        <item m="1" x="44"/>
        <item m="1" x="85"/>
        <item m="1" x="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Page" multipleItemSelectionAllowed="1" showAll="0">
      <items count="16">
        <item m="1" x="14"/>
        <item m="1" x="10"/>
        <item m="1" x="6"/>
        <item m="1" x="11"/>
        <item m="1" x="7"/>
        <item m="1" x="12"/>
        <item m="1" x="8"/>
        <item m="1" x="13"/>
        <item m="1" x="9"/>
        <item x="0"/>
        <item x="1"/>
        <item x="2"/>
        <item x="3"/>
        <item x="4"/>
        <item x="5"/>
        <item t="default"/>
      </items>
    </pivotField>
    <pivotField numFmtId="169" showAll="0"/>
    <pivotField showAll="0"/>
    <pivotField showAll="0"/>
    <pivotField showAll="0"/>
    <pivotField showAll="0"/>
    <pivotField axis="axisRow" showAll="0">
      <items count="7">
        <item m="1" x="2"/>
        <item m="1" x="4"/>
        <item m="1" x="1"/>
        <item m="1" x="5"/>
        <item h="1" x="0"/>
        <item h="1" m="1" x="3"/>
        <item t="default"/>
      </items>
    </pivotField>
    <pivotField showAll="0"/>
    <pivotField showAll="0"/>
    <pivotField showAll="0"/>
    <pivotField numFmtId="20" showAll="0"/>
    <pivotField numFmtId="165" showAll="0"/>
    <pivotField numFmtId="165"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7"/>
  </rowFields>
  <rowItems count="1">
    <i t="grand">
      <x/>
    </i>
  </rowItems>
  <colItems count="1">
    <i/>
  </colItems>
  <pageFields count="2">
    <pageField fld="0" hier="-1"/>
    <pageField fld="1" hier="-1"/>
  </pageFields>
  <dataFields count="1">
    <dataField name="Suma de CONSOLIDADO DE TODAS LAS OPERACIONES" fld="20" baseField="0" baseItem="0"/>
  </dataFields>
  <chartFormats count="2">
    <chartFormat chart="2" format="12" series="1">
      <pivotArea type="data" outline="0" fieldPosition="0">
        <references count="1">
          <reference field="4294967294" count="1" selected="0">
            <x v="0"/>
          </reference>
        </references>
      </pivotArea>
    </chartFormat>
    <chartFormat chart="0"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5" cacheId="0" applyNumberFormats="0" applyBorderFormats="0" applyFontFormats="0" applyPatternFormats="0" applyAlignmentFormats="0" applyWidthHeightFormats="1" dataCaption="Valores" updatedVersion="4" minRefreshableVersion="3" useAutoFormatting="1" itemPrintTitles="1" createdVersion="6" indent="0" outline="1" outlineData="1" multipleFieldFilters="0" chartFormat="5">
  <location ref="P50:R83" firstHeaderRow="0" firstDataRow="1" firstDataCol="1" rowPageCount="1" colPageCount="1"/>
  <pivotFields count="31">
    <pivotField axis="axisRow" numFmtId="16" showAll="0">
      <items count="88">
        <item m="1" x="82"/>
        <item m="1" x="50"/>
        <item m="1" x="73"/>
        <item m="1" x="41"/>
        <item m="1" x="64"/>
        <item m="1" x="80"/>
        <item m="1" x="48"/>
        <item m="1" x="70"/>
        <item m="1" x="39"/>
        <item m="1" x="62"/>
        <item m="1" x="78"/>
        <item m="1" x="46"/>
        <item m="1" x="68"/>
        <item m="1" x="37"/>
        <item m="1" x="60"/>
        <item m="1" x="75"/>
        <item m="1" x="43"/>
        <item m="1" x="66"/>
        <item m="1" x="35"/>
        <item m="1" x="58"/>
        <item m="1" x="72"/>
        <item m="1" x="32"/>
        <item m="1" x="55"/>
        <item m="1" x="86"/>
        <item m="1" x="54"/>
        <item m="1" x="77"/>
        <item m="1" x="45"/>
        <item m="1" x="67"/>
        <item m="1" x="36"/>
        <item m="1" x="59"/>
        <item m="1" x="83"/>
        <item m="1" x="51"/>
        <item m="1" x="74"/>
        <item m="1" x="42"/>
        <item m="1" x="65"/>
        <item m="1" x="34"/>
        <item m="1" x="57"/>
        <item m="1" x="81"/>
        <item m="1" x="49"/>
        <item m="1" x="71"/>
        <item m="1" x="40"/>
        <item m="1" x="63"/>
        <item m="1" x="33"/>
        <item m="1" x="56"/>
        <item m="1" x="79"/>
        <item m="1" x="47"/>
        <item m="1" x="69"/>
        <item m="1" x="38"/>
        <item m="1" x="61"/>
        <item m="1" x="84"/>
        <item m="1" x="52"/>
        <item m="1" x="76"/>
        <item m="1" x="44"/>
        <item m="1" x="85"/>
        <item m="1" x="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Page" multipleItemSelectionAllowed="1" showAll="0">
      <items count="16">
        <item m="1" x="14"/>
        <item m="1" x="10"/>
        <item m="1" x="6"/>
        <item m="1" x="11"/>
        <item m="1" x="7"/>
        <item m="1" x="12"/>
        <item m="1" x="8"/>
        <item m="1" x="13"/>
        <item m="1" x="9"/>
        <item x="0"/>
        <item x="1"/>
        <item x="2"/>
        <item x="3"/>
        <item x="4"/>
        <item x="5"/>
        <item t="default"/>
      </items>
    </pivotField>
    <pivotField numFmtId="168" showAll="0"/>
    <pivotField showAll="0"/>
    <pivotField showAll="0"/>
    <pivotField showAll="0"/>
    <pivotField showAll="0"/>
    <pivotField showAll="0"/>
    <pivotField showAll="0"/>
    <pivotField showAll="0"/>
    <pivotField showAll="0"/>
    <pivotField numFmtId="20" showAll="0"/>
    <pivotField numFmtId="165" showAll="0"/>
    <pivotField numFmtId="165" showAll="0"/>
    <pivotField showAll="0"/>
    <pivotField showAll="0"/>
    <pivotField showAll="0"/>
    <pivotField showAll="0"/>
    <pivotField showAll="0"/>
    <pivotField showAll="0"/>
    <pivotField numFmtId="166" showAll="0"/>
    <pivotField showAll="0"/>
    <pivotField dataField="1" showAll="0"/>
    <pivotField dataField="1" showAll="0"/>
    <pivotField showAll="0"/>
    <pivotField showAll="0"/>
    <pivotField showAll="0"/>
    <pivotField showAll="0"/>
    <pivotField showAll="0"/>
    <pivotField showAll="0"/>
    <pivotField showAll="0"/>
  </pivotFields>
  <rowFields count="1">
    <field x="0"/>
  </rowFields>
  <rowItems count="3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Fields count="1">
    <field x="-2"/>
  </colFields>
  <colItems count="2">
    <i>
      <x/>
    </i>
    <i i="1">
      <x v="1"/>
    </i>
  </colItems>
  <pageFields count="1">
    <pageField fld="1" hier="-1"/>
  </pageFields>
  <dataFields count="2">
    <dataField name="Suma de Total Cuenta Real" fld="22" baseField="0" baseItem="0"/>
    <dataField name="Suma de Cuenta mas Objetivo" fld="23" baseField="0" baseItem="0"/>
  </dataFields>
  <formats count="1">
    <format dxfId="527">
      <pivotArea outline="0" collapsedLevelsAreSubtotals="1" fieldPosition="0"/>
    </format>
  </formats>
  <chartFormats count="55">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0" format="3" series="1">
      <pivotArea type="data" outline="0" fieldPosition="0">
        <references count="2">
          <reference field="4294967294" count="1" selected="0">
            <x v="0"/>
          </reference>
          <reference field="0" count="1" selected="0">
            <x v="3"/>
          </reference>
        </references>
      </pivotArea>
    </chartFormat>
    <chartFormat chart="0" format="4" series="1">
      <pivotArea type="data" outline="0" fieldPosition="0">
        <references count="2">
          <reference field="4294967294" count="1" selected="0">
            <x v="0"/>
          </reference>
          <reference field="0" count="1" selected="0">
            <x v="4"/>
          </reference>
        </references>
      </pivotArea>
    </chartFormat>
    <chartFormat chart="0" format="5" series="1">
      <pivotArea type="data" outline="0" fieldPosition="0">
        <references count="2">
          <reference field="4294967294" count="1" selected="0">
            <x v="0"/>
          </reference>
          <reference field="0" count="1" selected="0">
            <x v="5"/>
          </reference>
        </references>
      </pivotArea>
    </chartFormat>
    <chartFormat chart="0" format="6" series="1">
      <pivotArea type="data" outline="0" fieldPosition="0">
        <references count="2">
          <reference field="4294967294" count="1" selected="0">
            <x v="0"/>
          </reference>
          <reference field="0" count="1" selected="0">
            <x v="6"/>
          </reference>
        </references>
      </pivotArea>
    </chartFormat>
    <chartFormat chart="0" format="7" series="1">
      <pivotArea type="data" outline="0" fieldPosition="0">
        <references count="2">
          <reference field="4294967294" count="1" selected="0">
            <x v="0"/>
          </reference>
          <reference field="0" count="1" selected="0">
            <x v="7"/>
          </reference>
        </references>
      </pivotArea>
    </chartFormat>
    <chartFormat chart="0" format="8" series="1">
      <pivotArea type="data" outline="0" fieldPosition="0">
        <references count="2">
          <reference field="4294967294" count="1" selected="0">
            <x v="0"/>
          </reference>
          <reference field="0" count="1" selected="0">
            <x v="8"/>
          </reference>
        </references>
      </pivotArea>
    </chartFormat>
    <chartFormat chart="0" format="9" series="1">
      <pivotArea type="data" outline="0" fieldPosition="0">
        <references count="2">
          <reference field="4294967294" count="1" selected="0">
            <x v="0"/>
          </reference>
          <reference field="0" count="1" selected="0">
            <x v="9"/>
          </reference>
        </references>
      </pivotArea>
    </chartFormat>
    <chartFormat chart="0" format="10" series="1">
      <pivotArea type="data" outline="0" fieldPosition="0">
        <references count="2">
          <reference field="4294967294" count="1" selected="0">
            <x v="0"/>
          </reference>
          <reference field="0" count="1" selected="0">
            <x v="10"/>
          </reference>
        </references>
      </pivotArea>
    </chartFormat>
    <chartFormat chart="0" format="11" series="1">
      <pivotArea type="data" outline="0" fieldPosition="0">
        <references count="2">
          <reference field="4294967294" count="1" selected="0">
            <x v="0"/>
          </reference>
          <reference field="0" count="1" selected="0">
            <x v="11"/>
          </reference>
        </references>
      </pivotArea>
    </chartFormat>
    <chartFormat chart="0" format="12" series="1">
      <pivotArea type="data" outline="0" fieldPosition="0">
        <references count="2">
          <reference field="4294967294" count="1" selected="0">
            <x v="0"/>
          </reference>
          <reference field="0" count="1" selected="0">
            <x v="12"/>
          </reference>
        </references>
      </pivotArea>
    </chartFormat>
    <chartFormat chart="0" format="13" series="1">
      <pivotArea type="data" outline="0" fieldPosition="0">
        <references count="2">
          <reference field="4294967294" count="1" selected="0">
            <x v="0"/>
          </reference>
          <reference field="0" count="1" selected="0">
            <x v="13"/>
          </reference>
        </references>
      </pivotArea>
    </chartFormat>
    <chartFormat chart="0" format="14" series="1">
      <pivotArea type="data" outline="0" fieldPosition="0">
        <references count="2">
          <reference field="4294967294" count="1" selected="0">
            <x v="0"/>
          </reference>
          <reference field="0" count="1" selected="0">
            <x v="14"/>
          </reference>
        </references>
      </pivotArea>
    </chartFormat>
    <chartFormat chart="0" format="15" series="1">
      <pivotArea type="data" outline="0" fieldPosition="0">
        <references count="2">
          <reference field="4294967294" count="1" selected="0">
            <x v="0"/>
          </reference>
          <reference field="0" count="1" selected="0">
            <x v="15"/>
          </reference>
        </references>
      </pivotArea>
    </chartFormat>
    <chartFormat chart="0" format="16" series="1">
      <pivotArea type="data" outline="0" fieldPosition="0">
        <references count="2">
          <reference field="4294967294" count="1" selected="0">
            <x v="0"/>
          </reference>
          <reference field="0" count="1" selected="0">
            <x v="16"/>
          </reference>
        </references>
      </pivotArea>
    </chartFormat>
    <chartFormat chart="0" format="17" series="1">
      <pivotArea type="data" outline="0" fieldPosition="0">
        <references count="2">
          <reference field="4294967294" count="1" selected="0">
            <x v="0"/>
          </reference>
          <reference field="0" count="1" selected="0">
            <x v="17"/>
          </reference>
        </references>
      </pivotArea>
    </chartFormat>
    <chartFormat chart="0" format="18" series="1">
      <pivotArea type="data" outline="0" fieldPosition="0">
        <references count="2">
          <reference field="4294967294" count="1" selected="0">
            <x v="0"/>
          </reference>
          <reference field="0" count="1" selected="0">
            <x v="18"/>
          </reference>
        </references>
      </pivotArea>
    </chartFormat>
    <chartFormat chart="0" format="19" series="1">
      <pivotArea type="data" outline="0" fieldPosition="0">
        <references count="2">
          <reference field="4294967294" count="1" selected="0">
            <x v="0"/>
          </reference>
          <reference field="0" count="1" selected="0">
            <x v="19"/>
          </reference>
        </references>
      </pivotArea>
    </chartFormat>
    <chartFormat chart="0" format="20" series="1">
      <pivotArea type="data" outline="0" fieldPosition="0">
        <references count="2">
          <reference field="4294967294" count="1" selected="0">
            <x v="0"/>
          </reference>
          <reference field="0" count="1" selected="0">
            <x v="20"/>
          </reference>
        </references>
      </pivotArea>
    </chartFormat>
    <chartFormat chart="0" format="21" series="1">
      <pivotArea type="data" outline="0" fieldPosition="0">
        <references count="1">
          <reference field="4294967294" count="1" selected="0">
            <x v="0"/>
          </reference>
        </references>
      </pivotArea>
    </chartFormat>
    <chartFormat chart="0" format="22" series="1">
      <pivotArea type="data" outline="0" fieldPosition="0">
        <references count="1">
          <reference field="4294967294" count="1" selected="0">
            <x v="1"/>
          </reference>
        </references>
      </pivotArea>
    </chartFormat>
    <chartFormat chart="4" format="25" series="1">
      <pivotArea type="data" outline="0" fieldPosition="0">
        <references count="1">
          <reference field="4294967294" count="1" selected="0">
            <x v="0"/>
          </reference>
        </references>
      </pivotArea>
    </chartFormat>
    <chartFormat chart="4" format="26" series="1">
      <pivotArea type="data" outline="0" fieldPosition="0">
        <references count="1">
          <reference field="4294967294" count="1" selected="0">
            <x v="1"/>
          </reference>
        </references>
      </pivotArea>
    </chartFormat>
    <chartFormat chart="4" format="27">
      <pivotArea type="data" outline="0" fieldPosition="0">
        <references count="2">
          <reference field="4294967294" count="1" selected="0">
            <x v="0"/>
          </reference>
          <reference field="0" count="1" selected="0">
            <x v="3"/>
          </reference>
        </references>
      </pivotArea>
    </chartFormat>
    <chartFormat chart="4" format="28">
      <pivotArea type="data" outline="0" fieldPosition="0">
        <references count="2">
          <reference field="4294967294" count="1" selected="0">
            <x v="0"/>
          </reference>
          <reference field="0" count="1" selected="0">
            <x v="4"/>
          </reference>
        </references>
      </pivotArea>
    </chartFormat>
    <chartFormat chart="4" format="29">
      <pivotArea type="data" outline="0" fieldPosition="0">
        <references count="2">
          <reference field="4294967294" count="1" selected="0">
            <x v="1"/>
          </reference>
          <reference field="0" count="1" selected="0">
            <x v="4"/>
          </reference>
        </references>
      </pivotArea>
    </chartFormat>
    <chartFormat chart="4" format="30">
      <pivotArea type="data" outline="0" fieldPosition="0">
        <references count="2">
          <reference field="4294967294" count="1" selected="0">
            <x v="1"/>
          </reference>
          <reference field="0" count="1" selected="0">
            <x v="3"/>
          </reference>
        </references>
      </pivotArea>
    </chartFormat>
    <chartFormat chart="4" format="31">
      <pivotArea type="data" outline="0" fieldPosition="0">
        <references count="2">
          <reference field="4294967294" count="1" selected="0">
            <x v="0"/>
          </reference>
          <reference field="0" count="1" selected="0">
            <x v="5"/>
          </reference>
        </references>
      </pivotArea>
    </chartFormat>
    <chartFormat chart="4" format="32">
      <pivotArea type="data" outline="0" fieldPosition="0">
        <references count="2">
          <reference field="4294967294" count="1" selected="0">
            <x v="0"/>
          </reference>
          <reference field="0" count="1" selected="0">
            <x v="6"/>
          </reference>
        </references>
      </pivotArea>
    </chartFormat>
    <chartFormat chart="4" format="33">
      <pivotArea type="data" outline="0" fieldPosition="0">
        <references count="2">
          <reference field="4294967294" count="1" selected="0">
            <x v="1"/>
          </reference>
          <reference field="0" count="1" selected="0">
            <x v="5"/>
          </reference>
        </references>
      </pivotArea>
    </chartFormat>
    <chartFormat chart="4" format="34">
      <pivotArea type="data" outline="0" fieldPosition="0">
        <references count="2">
          <reference field="4294967294" count="1" selected="0">
            <x v="1"/>
          </reference>
          <reference field="0" count="1" selected="0">
            <x v="6"/>
          </reference>
        </references>
      </pivotArea>
    </chartFormat>
    <chartFormat chart="4" format="35">
      <pivotArea type="data" outline="0" fieldPosition="0">
        <references count="2">
          <reference field="4294967294" count="1" selected="0">
            <x v="0"/>
          </reference>
          <reference field="0" count="1" selected="0">
            <x v="10"/>
          </reference>
        </references>
      </pivotArea>
    </chartFormat>
    <chartFormat chart="4" format="36">
      <pivotArea type="data" outline="0" fieldPosition="0">
        <references count="2">
          <reference field="4294967294" count="1" selected="0">
            <x v="1"/>
          </reference>
          <reference field="0" count="1" selected="0">
            <x v="10"/>
          </reference>
        </references>
      </pivotArea>
    </chartFormat>
    <chartFormat chart="4" format="37">
      <pivotArea type="data" outline="0" fieldPosition="0">
        <references count="2">
          <reference field="4294967294" count="1" selected="0">
            <x v="0"/>
          </reference>
          <reference field="0" count="1" selected="0">
            <x v="0"/>
          </reference>
        </references>
      </pivotArea>
    </chartFormat>
    <chartFormat chart="4" format="38">
      <pivotArea type="data" outline="0" fieldPosition="0">
        <references count="2">
          <reference field="4294967294" count="1" selected="0">
            <x v="0"/>
          </reference>
          <reference field="0" count="1" selected="0">
            <x v="1"/>
          </reference>
        </references>
      </pivotArea>
    </chartFormat>
    <chartFormat chart="4" format="39">
      <pivotArea type="data" outline="0" fieldPosition="0">
        <references count="2">
          <reference field="4294967294" count="1" selected="0">
            <x v="0"/>
          </reference>
          <reference field="0" count="1" selected="0">
            <x v="2"/>
          </reference>
        </references>
      </pivotArea>
    </chartFormat>
    <chartFormat chart="4" format="40">
      <pivotArea type="data" outline="0" fieldPosition="0">
        <references count="2">
          <reference field="4294967294" count="1" selected="0">
            <x v="1"/>
          </reference>
          <reference field="0" count="1" selected="0">
            <x v="0"/>
          </reference>
        </references>
      </pivotArea>
    </chartFormat>
    <chartFormat chart="4" format="41">
      <pivotArea type="data" outline="0" fieldPosition="0">
        <references count="2">
          <reference field="4294967294" count="1" selected="0">
            <x v="1"/>
          </reference>
          <reference field="0" count="1" selected="0">
            <x v="1"/>
          </reference>
        </references>
      </pivotArea>
    </chartFormat>
    <chartFormat chart="4" format="42">
      <pivotArea type="data" outline="0" fieldPosition="0">
        <references count="2">
          <reference field="4294967294" count="1" selected="0">
            <x v="1"/>
          </reference>
          <reference field="0" count="1" selected="0">
            <x v="2"/>
          </reference>
        </references>
      </pivotArea>
    </chartFormat>
    <chartFormat chart="4" format="43">
      <pivotArea type="data" outline="0" fieldPosition="0">
        <references count="2">
          <reference field="4294967294" count="1" selected="0">
            <x v="0"/>
          </reference>
          <reference field="0" count="1" selected="0">
            <x v="23"/>
          </reference>
        </references>
      </pivotArea>
    </chartFormat>
    <chartFormat chart="4" format="44">
      <pivotArea type="data" outline="0" fieldPosition="0">
        <references count="2">
          <reference field="4294967294" count="1" selected="0">
            <x v="0"/>
          </reference>
          <reference field="0" count="1" selected="0">
            <x v="24"/>
          </reference>
        </references>
      </pivotArea>
    </chartFormat>
    <chartFormat chart="4" format="45">
      <pivotArea type="data" outline="0" fieldPosition="0">
        <references count="2">
          <reference field="4294967294" count="1" selected="0">
            <x v="0"/>
          </reference>
          <reference field="0" count="1" selected="0">
            <x v="25"/>
          </reference>
        </references>
      </pivotArea>
    </chartFormat>
    <chartFormat chart="4" format="46">
      <pivotArea type="data" outline="0" fieldPosition="0">
        <references count="2">
          <reference field="4294967294" count="1" selected="0">
            <x v="0"/>
          </reference>
          <reference field="0" count="1" selected="0">
            <x v="26"/>
          </reference>
        </references>
      </pivotArea>
    </chartFormat>
    <chartFormat chart="4" format="47">
      <pivotArea type="data" outline="0" fieldPosition="0">
        <references count="2">
          <reference field="4294967294" count="1" selected="0">
            <x v="0"/>
          </reference>
          <reference field="0" count="1" selected="0">
            <x v="27"/>
          </reference>
        </references>
      </pivotArea>
    </chartFormat>
    <chartFormat chart="4" format="48">
      <pivotArea type="data" outline="0" fieldPosition="0">
        <references count="2">
          <reference field="4294967294" count="1" selected="0">
            <x v="1"/>
          </reference>
          <reference field="0" count="1" selected="0">
            <x v="23"/>
          </reference>
        </references>
      </pivotArea>
    </chartFormat>
    <chartFormat chart="4" format="49">
      <pivotArea type="data" outline="0" fieldPosition="0">
        <references count="2">
          <reference field="4294967294" count="1" selected="0">
            <x v="1"/>
          </reference>
          <reference field="0" count="1" selected="0">
            <x v="24"/>
          </reference>
        </references>
      </pivotArea>
    </chartFormat>
    <chartFormat chart="4" format="50">
      <pivotArea type="data" outline="0" fieldPosition="0">
        <references count="2">
          <reference field="4294967294" count="1" selected="0">
            <x v="1"/>
          </reference>
          <reference field="0" count="1" selected="0">
            <x v="25"/>
          </reference>
        </references>
      </pivotArea>
    </chartFormat>
    <chartFormat chart="4" format="51">
      <pivotArea type="data" outline="0" fieldPosition="0">
        <references count="2">
          <reference field="4294967294" count="1" selected="0">
            <x v="1"/>
          </reference>
          <reference field="0" count="1" selected="0">
            <x v="26"/>
          </reference>
        </references>
      </pivotArea>
    </chartFormat>
    <chartFormat chart="4" format="52">
      <pivotArea type="data" outline="0" fieldPosition="0">
        <references count="2">
          <reference field="4294967294" count="1" selected="0">
            <x v="1"/>
          </reference>
          <reference field="0" count="1" selected="0">
            <x v="27"/>
          </reference>
        </references>
      </pivotArea>
    </chartFormat>
    <chartFormat chart="4" format="53">
      <pivotArea type="data" outline="0" fieldPosition="0">
        <references count="2">
          <reference field="4294967294" count="1" selected="0">
            <x v="0"/>
          </reference>
          <reference field="0" count="1" selected="0">
            <x v="30"/>
          </reference>
        </references>
      </pivotArea>
    </chartFormat>
    <chartFormat chart="4" format="54">
      <pivotArea type="data" outline="0" fieldPosition="0">
        <references count="2">
          <reference field="4294967294" count="1" selected="0">
            <x v="1"/>
          </reference>
          <reference field="0" count="1" selected="0">
            <x v="30"/>
          </reference>
        </references>
      </pivotArea>
    </chartFormat>
    <chartFormat chart="4" format="55">
      <pivotArea type="data" outline="0" fieldPosition="0">
        <references count="2">
          <reference field="4294967294" count="1" selected="0">
            <x v="0"/>
          </reference>
          <reference field="0" count="1" selected="0">
            <x v="31"/>
          </reference>
        </references>
      </pivotArea>
    </chartFormat>
    <chartFormat chart="4" format="56">
      <pivotArea type="data" outline="0" fieldPosition="0">
        <references count="2">
          <reference field="4294967294" count="1" selected="0">
            <x v="1"/>
          </reference>
          <reference field="0" count="1" selected="0">
            <x v="3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6" cacheId="0" applyNumberFormats="0" applyBorderFormats="0" applyFontFormats="0" applyPatternFormats="0" applyAlignmentFormats="0" applyWidthHeightFormats="1" dataCaption="Valores" updatedVersion="4" minRefreshableVersion="3" useAutoFormatting="1" itemPrintTitles="1" createdVersion="6" indent="0" outline="1" outlineData="1" multipleFieldFilters="0" chartFormat="3">
  <location ref="P123:W157" firstHeaderRow="1" firstDataRow="2" firstDataCol="1" rowPageCount="1" colPageCount="1"/>
  <pivotFields count="31">
    <pivotField numFmtId="16" showAll="0">
      <items count="88">
        <item m="1" x="82"/>
        <item m="1" x="50"/>
        <item m="1" x="73"/>
        <item m="1" x="41"/>
        <item m="1" x="64"/>
        <item m="1" x="80"/>
        <item m="1" x="48"/>
        <item m="1" x="70"/>
        <item m="1" x="39"/>
        <item m="1" x="62"/>
        <item m="1" x="32"/>
        <item m="1" x="55"/>
        <item m="1" x="78"/>
        <item m="1" x="46"/>
        <item m="1" x="68"/>
        <item m="1" x="37"/>
        <item m="1" x="60"/>
        <item m="1" x="75"/>
        <item m="1" x="43"/>
        <item m="1" x="66"/>
        <item m="1" x="35"/>
        <item m="1" x="58"/>
        <item m="1" x="72"/>
        <item m="1" x="86"/>
        <item m="1" x="54"/>
        <item m="1" x="77"/>
        <item m="1" x="45"/>
        <item m="1" x="67"/>
        <item m="1" x="36"/>
        <item m="1" x="59"/>
        <item m="1" x="83"/>
        <item m="1" x="51"/>
        <item m="1" x="74"/>
        <item m="1" x="42"/>
        <item m="1" x="65"/>
        <item m="1" x="34"/>
        <item m="1" x="57"/>
        <item m="1" x="81"/>
        <item m="1" x="49"/>
        <item m="1" x="71"/>
        <item m="1" x="40"/>
        <item m="1" x="63"/>
        <item m="1" x="33"/>
        <item m="1" x="56"/>
        <item m="1" x="79"/>
        <item m="1" x="47"/>
        <item m="1" x="69"/>
        <item m="1" x="38"/>
        <item m="1" x="61"/>
        <item m="1" x="84"/>
        <item m="1" x="52"/>
        <item m="1" x="76"/>
        <item m="1" x="44"/>
        <item m="1" x="85"/>
        <item m="1" x="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Page" multipleItemSelectionAllowed="1" showAll="0">
      <items count="16">
        <item m="1" x="14"/>
        <item m="1" x="10"/>
        <item m="1" x="6"/>
        <item m="1" x="11"/>
        <item m="1" x="7"/>
        <item m="1" x="12"/>
        <item m="1" x="8"/>
        <item m="1" x="13"/>
        <item m="1" x="9"/>
        <item x="0"/>
        <item x="1"/>
        <item x="2"/>
        <item x="3"/>
        <item x="4"/>
        <item x="5"/>
        <item t="default"/>
      </items>
    </pivotField>
    <pivotField axis="axisRow" numFmtId="168" showAll="0">
      <items count="88">
        <item m="1" x="82"/>
        <item m="1" x="50"/>
        <item m="1" x="73"/>
        <item m="1" x="41"/>
        <item m="1" x="64"/>
        <item m="1" x="80"/>
        <item m="1" x="48"/>
        <item m="1" x="70"/>
        <item m="1" x="39"/>
        <item m="1" x="62"/>
        <item m="1" x="78"/>
        <item m="1" x="46"/>
        <item m="1" x="68"/>
        <item m="1" x="37"/>
        <item m="1" x="60"/>
        <item m="1" x="75"/>
        <item m="1" x="43"/>
        <item m="1" x="66"/>
        <item m="1" x="35"/>
        <item m="1" x="58"/>
        <item m="1" x="72"/>
        <item m="1" x="32"/>
        <item m="1" x="55"/>
        <item m="1" x="86"/>
        <item m="1" x="54"/>
        <item m="1" x="77"/>
        <item m="1" x="45"/>
        <item m="1" x="67"/>
        <item m="1" x="36"/>
        <item m="1" x="59"/>
        <item m="1" x="83"/>
        <item m="1" x="51"/>
        <item m="1" x="74"/>
        <item m="1" x="42"/>
        <item m="1" x="65"/>
        <item m="1" x="34"/>
        <item m="1" x="57"/>
        <item m="1" x="81"/>
        <item m="1" x="49"/>
        <item m="1" x="71"/>
        <item m="1" x="40"/>
        <item m="1" x="63"/>
        <item m="1" x="33"/>
        <item m="1" x="56"/>
        <item m="1" x="79"/>
        <item m="1" x="47"/>
        <item m="1" x="69"/>
        <item m="1" x="38"/>
        <item m="1" x="61"/>
        <item m="1" x="84"/>
        <item m="1" x="52"/>
        <item m="1" x="76"/>
        <item m="1" x="44"/>
        <item m="1" x="85"/>
        <item m="1" x="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Col" showAll="0">
      <items count="32">
        <item x="0"/>
        <item x="1"/>
        <item x="2"/>
        <item x="3"/>
        <item x="4"/>
        <item m="1" x="9"/>
        <item m="1" x="14"/>
        <item m="1" x="19"/>
        <item m="1" x="22"/>
        <item m="1" x="25"/>
        <item m="1" x="28"/>
        <item m="1" x="30"/>
        <item m="1" x="6"/>
        <item m="1" x="7"/>
        <item m="1" x="8"/>
        <item m="1" x="10"/>
        <item m="1" x="11"/>
        <item m="1" x="12"/>
        <item m="1" x="13"/>
        <item m="1" x="15"/>
        <item m="1" x="16"/>
        <item m="1" x="17"/>
        <item m="1" x="18"/>
        <item m="1" x="20"/>
        <item m="1" x="21"/>
        <item m="1" x="23"/>
        <item m="1" x="24"/>
        <item m="1" x="26"/>
        <item m="1" x="27"/>
        <item m="1" x="29"/>
        <item x="5"/>
        <item t="default"/>
      </items>
    </pivotField>
    <pivotField showAll="0"/>
    <pivotField showAll="0"/>
    <pivotField showAll="0"/>
    <pivotField showAll="0"/>
    <pivotField showAll="0"/>
    <pivotField showAll="0"/>
    <pivotField showAll="0"/>
    <pivotField dataField="1" numFmtId="20" showAll="0"/>
    <pivotField numFmtId="165" showAll="0"/>
    <pivotField numFmtId="165"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showAll="0"/>
    <pivotField showAll="0"/>
  </pivotFields>
  <rowFields count="1">
    <field x="2"/>
  </rowFields>
  <rowItems count="3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Fields count="1">
    <field x="3"/>
  </colFields>
  <colItems count="7">
    <i>
      <x/>
    </i>
    <i>
      <x v="1"/>
    </i>
    <i>
      <x v="2"/>
    </i>
    <i>
      <x v="3"/>
    </i>
    <i>
      <x v="4"/>
    </i>
    <i>
      <x v="30"/>
    </i>
    <i t="grand">
      <x/>
    </i>
  </colItems>
  <pageFields count="1">
    <pageField fld="1" hier="-1"/>
  </pageFields>
  <dataFields count="1">
    <dataField name="Suma de TIEMPO DE VUELO" fld="11" baseField="2" baseItem="0" numFmtId="20"/>
  </dataFields>
  <formats count="1">
    <format dxfId="528">
      <pivotArea outline="0" collapsedLevelsAreSubtotals="1" fieldPosition="0"/>
    </format>
  </formats>
  <chartFormats count="72">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0" format="4" series="1">
      <pivotArea type="data" outline="0" fieldPosition="0">
        <references count="2">
          <reference field="4294967294" count="1" selected="0">
            <x v="0"/>
          </reference>
          <reference field="2" count="1" selected="0">
            <x v="4"/>
          </reference>
        </references>
      </pivotArea>
    </chartFormat>
    <chartFormat chart="0" format="5" series="1">
      <pivotArea type="data" outline="0" fieldPosition="0">
        <references count="2">
          <reference field="4294967294" count="1" selected="0">
            <x v="0"/>
          </reference>
          <reference field="2" count="1" selected="0">
            <x v="5"/>
          </reference>
        </references>
      </pivotArea>
    </chartFormat>
    <chartFormat chart="0" format="6" series="1">
      <pivotArea type="data" outline="0" fieldPosition="0">
        <references count="2">
          <reference field="4294967294" count="1" selected="0">
            <x v="0"/>
          </reference>
          <reference field="2" count="1" selected="0">
            <x v="6"/>
          </reference>
        </references>
      </pivotArea>
    </chartFormat>
    <chartFormat chart="0" format="7" series="1">
      <pivotArea type="data" outline="0" fieldPosition="0">
        <references count="2">
          <reference field="4294967294" count="1" selected="0">
            <x v="0"/>
          </reference>
          <reference field="2" count="1" selected="0">
            <x v="7"/>
          </reference>
        </references>
      </pivotArea>
    </chartFormat>
    <chartFormat chart="0" format="8" series="1">
      <pivotArea type="data" outline="0" fieldPosition="0">
        <references count="2">
          <reference field="4294967294" count="1" selected="0">
            <x v="0"/>
          </reference>
          <reference field="2" count="1" selected="0">
            <x v="8"/>
          </reference>
        </references>
      </pivotArea>
    </chartFormat>
    <chartFormat chart="0" format="9" series="1">
      <pivotArea type="data" outline="0" fieldPosition="0">
        <references count="2">
          <reference field="4294967294" count="1" selected="0">
            <x v="0"/>
          </reference>
          <reference field="2" count="1" selected="0">
            <x v="9"/>
          </reference>
        </references>
      </pivotArea>
    </chartFormat>
    <chartFormat chart="0" format="10"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3" count="1" selected="0">
            <x v="1"/>
          </reference>
        </references>
      </pivotArea>
    </chartFormat>
    <chartFormat chart="0" format="12" series="1">
      <pivotArea type="data" outline="0" fieldPosition="0">
        <references count="2">
          <reference field="4294967294" count="1" selected="0">
            <x v="0"/>
          </reference>
          <reference field="3" count="1" selected="0">
            <x v="2"/>
          </reference>
        </references>
      </pivotArea>
    </chartFormat>
    <chartFormat chart="0" format="13" series="1">
      <pivotArea type="data" outline="0" fieldPosition="0">
        <references count="2">
          <reference field="4294967294" count="1" selected="0">
            <x v="0"/>
          </reference>
          <reference field="3" count="1" selected="0">
            <x v="3"/>
          </reference>
        </references>
      </pivotArea>
    </chartFormat>
    <chartFormat chart="0" format="14" series="1">
      <pivotArea type="data" outline="0" fieldPosition="0">
        <references count="2">
          <reference field="4294967294" count="1" selected="0">
            <x v="0"/>
          </reference>
          <reference field="3" count="1" selected="0">
            <x v="4"/>
          </reference>
        </references>
      </pivotArea>
    </chartFormat>
    <chartFormat chart="0" format="15" series="1">
      <pivotArea type="data" outline="0" fieldPosition="0">
        <references count="2">
          <reference field="4294967294" count="1" selected="0">
            <x v="0"/>
          </reference>
          <reference field="3" count="1" selected="0">
            <x v="5"/>
          </reference>
        </references>
      </pivotArea>
    </chartFormat>
    <chartFormat chart="0" format="16" series="1">
      <pivotArea type="data" outline="0" fieldPosition="0">
        <references count="2">
          <reference field="4294967294" count="1" selected="0">
            <x v="0"/>
          </reference>
          <reference field="3" count="1" selected="0">
            <x v="6"/>
          </reference>
        </references>
      </pivotArea>
    </chartFormat>
    <chartFormat chart="0" format="17" series="1">
      <pivotArea type="data" outline="0" fieldPosition="0">
        <references count="2">
          <reference field="4294967294" count="1" selected="0">
            <x v="0"/>
          </reference>
          <reference field="3" count="1" selected="0">
            <x v="0"/>
          </reference>
        </references>
      </pivotArea>
    </chartFormat>
    <chartFormat chart="2" format="25" series="1">
      <pivotArea type="data" outline="0" fieldPosition="0">
        <references count="2">
          <reference field="4294967294" count="1" selected="0">
            <x v="0"/>
          </reference>
          <reference field="3" count="1" selected="0">
            <x v="0"/>
          </reference>
        </references>
      </pivotArea>
    </chartFormat>
    <chartFormat chart="2" format="26" series="1">
      <pivotArea type="data" outline="0" fieldPosition="0">
        <references count="2">
          <reference field="4294967294" count="1" selected="0">
            <x v="0"/>
          </reference>
          <reference field="3" count="1" selected="0">
            <x v="1"/>
          </reference>
        </references>
      </pivotArea>
    </chartFormat>
    <chartFormat chart="2" format="27" series="1">
      <pivotArea type="data" outline="0" fieldPosition="0">
        <references count="2">
          <reference field="4294967294" count="1" selected="0">
            <x v="0"/>
          </reference>
          <reference field="3" count="1" selected="0">
            <x v="2"/>
          </reference>
        </references>
      </pivotArea>
    </chartFormat>
    <chartFormat chart="2" format="28" series="1">
      <pivotArea type="data" outline="0" fieldPosition="0">
        <references count="2">
          <reference field="4294967294" count="1" selected="0">
            <x v="0"/>
          </reference>
          <reference field="3" count="1" selected="0">
            <x v="3"/>
          </reference>
        </references>
      </pivotArea>
    </chartFormat>
    <chartFormat chart="2" format="29" series="1">
      <pivotArea type="data" outline="0" fieldPosition="0">
        <references count="2">
          <reference field="4294967294" count="1" selected="0">
            <x v="0"/>
          </reference>
          <reference field="3" count="1" selected="0">
            <x v="4"/>
          </reference>
        </references>
      </pivotArea>
    </chartFormat>
    <chartFormat chart="2" format="30" series="1">
      <pivotArea type="data" outline="0" fieldPosition="0">
        <references count="2">
          <reference field="4294967294" count="1" selected="0">
            <x v="0"/>
          </reference>
          <reference field="3" count="1" selected="0">
            <x v="5"/>
          </reference>
        </references>
      </pivotArea>
    </chartFormat>
    <chartFormat chart="2" format="31" series="1">
      <pivotArea type="data" outline="0" fieldPosition="0">
        <references count="2">
          <reference field="4294967294" count="1" selected="0">
            <x v="0"/>
          </reference>
          <reference field="3" count="1" selected="0">
            <x v="6"/>
          </reference>
        </references>
      </pivotArea>
    </chartFormat>
    <chartFormat chart="2" format="32" series="1">
      <pivotArea type="data" outline="0" fieldPosition="0">
        <references count="1">
          <reference field="4294967294" count="1" selected="0">
            <x v="0"/>
          </reference>
        </references>
      </pivotArea>
    </chartFormat>
    <chartFormat chart="2" format="33" series="1">
      <pivotArea type="data" outline="0" fieldPosition="0">
        <references count="2">
          <reference field="4294967294" count="1" selected="0">
            <x v="0"/>
          </reference>
          <reference field="3" count="1" selected="0">
            <x v="7"/>
          </reference>
        </references>
      </pivotArea>
    </chartFormat>
    <chartFormat chart="2" format="34" series="1">
      <pivotArea type="data" outline="0" fieldPosition="0">
        <references count="2">
          <reference field="4294967294" count="1" selected="0">
            <x v="0"/>
          </reference>
          <reference field="3" count="1" selected="0">
            <x v="8"/>
          </reference>
        </references>
      </pivotArea>
    </chartFormat>
    <chartFormat chart="2" format="35" series="1">
      <pivotArea type="data" outline="0" fieldPosition="0">
        <references count="2">
          <reference field="4294967294" count="1" selected="0">
            <x v="0"/>
          </reference>
          <reference field="3" count="1" selected="0">
            <x v="9"/>
          </reference>
        </references>
      </pivotArea>
    </chartFormat>
    <chartFormat chart="2" format="36" series="1">
      <pivotArea type="data" outline="0" fieldPosition="0">
        <references count="2">
          <reference field="4294967294" count="1" selected="0">
            <x v="0"/>
          </reference>
          <reference field="3" count="1" selected="0">
            <x v="10"/>
          </reference>
        </references>
      </pivotArea>
    </chartFormat>
    <chartFormat chart="2" format="37" series="1">
      <pivotArea type="data" outline="0" fieldPosition="0">
        <references count="2">
          <reference field="4294967294" count="1" selected="0">
            <x v="0"/>
          </reference>
          <reference field="3" count="1" selected="0">
            <x v="11"/>
          </reference>
        </references>
      </pivotArea>
    </chartFormat>
    <chartFormat chart="2" format="38" series="1">
      <pivotArea type="data" outline="0" fieldPosition="0">
        <references count="2">
          <reference field="4294967294" count="1" selected="0">
            <x v="0"/>
          </reference>
          <reference field="3" count="1" selected="0">
            <x v="12"/>
          </reference>
        </references>
      </pivotArea>
    </chartFormat>
    <chartFormat chart="2" format="39" series="1">
      <pivotArea type="data" outline="0" fieldPosition="0">
        <references count="2">
          <reference field="4294967294" count="1" selected="0">
            <x v="0"/>
          </reference>
          <reference field="3" count="1" selected="0">
            <x v="13"/>
          </reference>
        </references>
      </pivotArea>
    </chartFormat>
    <chartFormat chart="2" format="40" series="1">
      <pivotArea type="data" outline="0" fieldPosition="0">
        <references count="2">
          <reference field="4294967294" count="1" selected="0">
            <x v="0"/>
          </reference>
          <reference field="3" count="1" selected="0">
            <x v="14"/>
          </reference>
        </references>
      </pivotArea>
    </chartFormat>
    <chartFormat chart="2" format="41" series="1">
      <pivotArea type="data" outline="0" fieldPosition="0">
        <references count="2">
          <reference field="4294967294" count="1" selected="0">
            <x v="0"/>
          </reference>
          <reference field="3" count="1" selected="0">
            <x v="15"/>
          </reference>
        </references>
      </pivotArea>
    </chartFormat>
    <chartFormat chart="2" format="42" series="1">
      <pivotArea type="data" outline="0" fieldPosition="0">
        <references count="2">
          <reference field="4294967294" count="1" selected="0">
            <x v="0"/>
          </reference>
          <reference field="3" count="1" selected="0">
            <x v="16"/>
          </reference>
        </references>
      </pivotArea>
    </chartFormat>
    <chartFormat chart="2" format="43" series="1">
      <pivotArea type="data" outline="0" fieldPosition="0">
        <references count="2">
          <reference field="4294967294" count="1" selected="0">
            <x v="0"/>
          </reference>
          <reference field="3" count="1" selected="0">
            <x v="17"/>
          </reference>
        </references>
      </pivotArea>
    </chartFormat>
    <chartFormat chart="2" format="44" series="1">
      <pivotArea type="data" outline="0" fieldPosition="0">
        <references count="2">
          <reference field="4294967294" count="1" selected="0">
            <x v="0"/>
          </reference>
          <reference field="3" count="1" selected="0">
            <x v="18"/>
          </reference>
        </references>
      </pivotArea>
    </chartFormat>
    <chartFormat chart="2" format="45" series="1">
      <pivotArea type="data" outline="0" fieldPosition="0">
        <references count="2">
          <reference field="4294967294" count="1" selected="0">
            <x v="0"/>
          </reference>
          <reference field="3" count="1" selected="0">
            <x v="19"/>
          </reference>
        </references>
      </pivotArea>
    </chartFormat>
    <chartFormat chart="2" format="46" series="1">
      <pivotArea type="data" outline="0" fieldPosition="0">
        <references count="2">
          <reference field="4294967294" count="1" selected="0">
            <x v="0"/>
          </reference>
          <reference field="3" count="1" selected="0">
            <x v="20"/>
          </reference>
        </references>
      </pivotArea>
    </chartFormat>
    <chartFormat chart="2" format="47" series="1">
      <pivotArea type="data" outline="0" fieldPosition="0">
        <references count="2">
          <reference field="4294967294" count="1" selected="0">
            <x v="0"/>
          </reference>
          <reference field="3" count="1" selected="0">
            <x v="21"/>
          </reference>
        </references>
      </pivotArea>
    </chartFormat>
    <chartFormat chart="2" format="48" series="1">
      <pivotArea type="data" outline="0" fieldPosition="0">
        <references count="2">
          <reference field="4294967294" count="1" selected="0">
            <x v="0"/>
          </reference>
          <reference field="3" count="1" selected="0">
            <x v="22"/>
          </reference>
        </references>
      </pivotArea>
    </chartFormat>
    <chartFormat chart="2" format="49" series="1">
      <pivotArea type="data" outline="0" fieldPosition="0">
        <references count="2">
          <reference field="4294967294" count="1" selected="0">
            <x v="0"/>
          </reference>
          <reference field="3" count="1" selected="0">
            <x v="23"/>
          </reference>
        </references>
      </pivotArea>
    </chartFormat>
    <chartFormat chart="2" format="50" series="1">
      <pivotArea type="data" outline="0" fieldPosition="0">
        <references count="2">
          <reference field="4294967294" count="1" selected="0">
            <x v="0"/>
          </reference>
          <reference field="3" count="1" selected="0">
            <x v="24"/>
          </reference>
        </references>
      </pivotArea>
    </chartFormat>
    <chartFormat chart="2" format="51" series="1">
      <pivotArea type="data" outline="0" fieldPosition="0">
        <references count="2">
          <reference field="4294967294" count="1" selected="0">
            <x v="0"/>
          </reference>
          <reference field="3" count="1" selected="0">
            <x v="25"/>
          </reference>
        </references>
      </pivotArea>
    </chartFormat>
    <chartFormat chart="2" format="52" series="1">
      <pivotArea type="data" outline="0" fieldPosition="0">
        <references count="2">
          <reference field="4294967294" count="1" selected="0">
            <x v="0"/>
          </reference>
          <reference field="3" count="1" selected="0">
            <x v="26"/>
          </reference>
        </references>
      </pivotArea>
    </chartFormat>
    <chartFormat chart="2" format="53" series="1">
      <pivotArea type="data" outline="0" fieldPosition="0">
        <references count="2">
          <reference field="4294967294" count="1" selected="0">
            <x v="0"/>
          </reference>
          <reference field="3" count="1" selected="0">
            <x v="27"/>
          </reference>
        </references>
      </pivotArea>
    </chartFormat>
    <chartFormat chart="2" format="54" series="1">
      <pivotArea type="data" outline="0" fieldPosition="0">
        <references count="2">
          <reference field="4294967294" count="1" selected="0">
            <x v="0"/>
          </reference>
          <reference field="3" count="1" selected="0">
            <x v="28"/>
          </reference>
        </references>
      </pivotArea>
    </chartFormat>
    <chartFormat chart="2" format="55" series="1">
      <pivotArea type="data" outline="0" fieldPosition="0">
        <references count="2">
          <reference field="4294967294" count="1" selected="0">
            <x v="0"/>
          </reference>
          <reference field="3" count="1" selected="0">
            <x v="29"/>
          </reference>
        </references>
      </pivotArea>
    </chartFormat>
    <chartFormat chart="0" format="18" series="1">
      <pivotArea type="data" outline="0" fieldPosition="0">
        <references count="2">
          <reference field="4294967294" count="1" selected="0">
            <x v="0"/>
          </reference>
          <reference field="3" count="1" selected="0">
            <x v="7"/>
          </reference>
        </references>
      </pivotArea>
    </chartFormat>
    <chartFormat chart="0" format="19" series="1">
      <pivotArea type="data" outline="0" fieldPosition="0">
        <references count="2">
          <reference field="4294967294" count="1" selected="0">
            <x v="0"/>
          </reference>
          <reference field="3" count="1" selected="0">
            <x v="8"/>
          </reference>
        </references>
      </pivotArea>
    </chartFormat>
    <chartFormat chart="0" format="20" series="1">
      <pivotArea type="data" outline="0" fieldPosition="0">
        <references count="2">
          <reference field="4294967294" count="1" selected="0">
            <x v="0"/>
          </reference>
          <reference field="3" count="1" selected="0">
            <x v="9"/>
          </reference>
        </references>
      </pivotArea>
    </chartFormat>
    <chartFormat chart="0" format="21" series="1">
      <pivotArea type="data" outline="0" fieldPosition="0">
        <references count="2">
          <reference field="4294967294" count="1" selected="0">
            <x v="0"/>
          </reference>
          <reference field="3" count="1" selected="0">
            <x v="10"/>
          </reference>
        </references>
      </pivotArea>
    </chartFormat>
    <chartFormat chart="0" format="22" series="1">
      <pivotArea type="data" outline="0" fieldPosition="0">
        <references count="2">
          <reference field="4294967294" count="1" selected="0">
            <x v="0"/>
          </reference>
          <reference field="3" count="1" selected="0">
            <x v="11"/>
          </reference>
        </references>
      </pivotArea>
    </chartFormat>
    <chartFormat chart="0" format="23" series="1">
      <pivotArea type="data" outline="0" fieldPosition="0">
        <references count="2">
          <reference field="4294967294" count="1" selected="0">
            <x v="0"/>
          </reference>
          <reference field="3" count="1" selected="0">
            <x v="12"/>
          </reference>
        </references>
      </pivotArea>
    </chartFormat>
    <chartFormat chart="0" format="24" series="1">
      <pivotArea type="data" outline="0" fieldPosition="0">
        <references count="2">
          <reference field="4294967294" count="1" selected="0">
            <x v="0"/>
          </reference>
          <reference field="3" count="1" selected="0">
            <x v="13"/>
          </reference>
        </references>
      </pivotArea>
    </chartFormat>
    <chartFormat chart="0" format="25" series="1">
      <pivotArea type="data" outline="0" fieldPosition="0">
        <references count="2">
          <reference field="4294967294" count="1" selected="0">
            <x v="0"/>
          </reference>
          <reference field="3" count="1" selected="0">
            <x v="14"/>
          </reference>
        </references>
      </pivotArea>
    </chartFormat>
    <chartFormat chart="0" format="26" series="1">
      <pivotArea type="data" outline="0" fieldPosition="0">
        <references count="2">
          <reference field="4294967294" count="1" selected="0">
            <x v="0"/>
          </reference>
          <reference field="3" count="1" selected="0">
            <x v="15"/>
          </reference>
        </references>
      </pivotArea>
    </chartFormat>
    <chartFormat chart="0" format="27" series="1">
      <pivotArea type="data" outline="0" fieldPosition="0">
        <references count="2">
          <reference field="4294967294" count="1" selected="0">
            <x v="0"/>
          </reference>
          <reference field="3" count="1" selected="0">
            <x v="16"/>
          </reference>
        </references>
      </pivotArea>
    </chartFormat>
    <chartFormat chart="0" format="28" series="1">
      <pivotArea type="data" outline="0" fieldPosition="0">
        <references count="2">
          <reference field="4294967294" count="1" selected="0">
            <x v="0"/>
          </reference>
          <reference field="3" count="1" selected="0">
            <x v="17"/>
          </reference>
        </references>
      </pivotArea>
    </chartFormat>
    <chartFormat chart="0" format="29" series="1">
      <pivotArea type="data" outline="0" fieldPosition="0">
        <references count="2">
          <reference field="4294967294" count="1" selected="0">
            <x v="0"/>
          </reference>
          <reference field="3" count="1" selected="0">
            <x v="18"/>
          </reference>
        </references>
      </pivotArea>
    </chartFormat>
    <chartFormat chart="0" format="30" series="1">
      <pivotArea type="data" outline="0" fieldPosition="0">
        <references count="2">
          <reference field="4294967294" count="1" selected="0">
            <x v="0"/>
          </reference>
          <reference field="3" count="1" selected="0">
            <x v="19"/>
          </reference>
        </references>
      </pivotArea>
    </chartFormat>
    <chartFormat chart="0" format="31" series="1">
      <pivotArea type="data" outline="0" fieldPosition="0">
        <references count="2">
          <reference field="4294967294" count="1" selected="0">
            <x v="0"/>
          </reference>
          <reference field="3" count="1" selected="0">
            <x v="20"/>
          </reference>
        </references>
      </pivotArea>
    </chartFormat>
    <chartFormat chart="0" format="32" series="1">
      <pivotArea type="data" outline="0" fieldPosition="0">
        <references count="2">
          <reference field="4294967294" count="1" selected="0">
            <x v="0"/>
          </reference>
          <reference field="3" count="1" selected="0">
            <x v="21"/>
          </reference>
        </references>
      </pivotArea>
    </chartFormat>
    <chartFormat chart="0" format="33" series="1">
      <pivotArea type="data" outline="0" fieldPosition="0">
        <references count="2">
          <reference field="4294967294" count="1" selected="0">
            <x v="0"/>
          </reference>
          <reference field="3" count="1" selected="0">
            <x v="22"/>
          </reference>
        </references>
      </pivotArea>
    </chartFormat>
    <chartFormat chart="0" format="34" series="1">
      <pivotArea type="data" outline="0" fieldPosition="0">
        <references count="2">
          <reference field="4294967294" count="1" selected="0">
            <x v="0"/>
          </reference>
          <reference field="3" count="1" selected="0">
            <x v="23"/>
          </reference>
        </references>
      </pivotArea>
    </chartFormat>
    <chartFormat chart="0" format="35" series="1">
      <pivotArea type="data" outline="0" fieldPosition="0">
        <references count="2">
          <reference field="4294967294" count="1" selected="0">
            <x v="0"/>
          </reference>
          <reference field="3" count="1" selected="0">
            <x v="24"/>
          </reference>
        </references>
      </pivotArea>
    </chartFormat>
    <chartFormat chart="0" format="36" series="1">
      <pivotArea type="data" outline="0" fieldPosition="0">
        <references count="2">
          <reference field="4294967294" count="1" selected="0">
            <x v="0"/>
          </reference>
          <reference field="3" count="1" selected="0">
            <x v="25"/>
          </reference>
        </references>
      </pivotArea>
    </chartFormat>
    <chartFormat chart="0" format="37" series="1">
      <pivotArea type="data" outline="0" fieldPosition="0">
        <references count="2">
          <reference field="4294967294" count="1" selected="0">
            <x v="0"/>
          </reference>
          <reference field="3" count="1" selected="0">
            <x v="26"/>
          </reference>
        </references>
      </pivotArea>
    </chartFormat>
    <chartFormat chart="0" format="38" series="1">
      <pivotArea type="data" outline="0" fieldPosition="0">
        <references count="2">
          <reference field="4294967294" count="1" selected="0">
            <x v="0"/>
          </reference>
          <reference field="3" count="1" selected="0">
            <x v="27"/>
          </reference>
        </references>
      </pivotArea>
    </chartFormat>
    <chartFormat chart="0" format="39" series="1">
      <pivotArea type="data" outline="0" fieldPosition="0">
        <references count="2">
          <reference field="4294967294" count="1" selected="0">
            <x v="0"/>
          </reference>
          <reference field="3" count="1" selected="0">
            <x v="28"/>
          </reference>
        </references>
      </pivotArea>
    </chartFormat>
    <chartFormat chart="0" format="40" series="1">
      <pivotArea type="data" outline="0" fieldPosition="0">
        <references count="2">
          <reference field="4294967294" count="1" selected="0">
            <x v="0"/>
          </reference>
          <reference field="3" count="1" selected="0">
            <x v="2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7" cacheId="0" dataOnRows="1" applyNumberFormats="0" applyBorderFormats="0" applyFontFormats="0" applyPatternFormats="0" applyAlignmentFormats="0" applyWidthHeightFormats="1" dataCaption="Valores" updatedVersion="4" minRefreshableVersion="3" useAutoFormatting="1" itemPrintTitles="1" createdVersion="6" indent="0" outline="1" outlineData="1" multipleFieldFilters="0" chartFormat="6">
  <location ref="P168:Q171" firstHeaderRow="1" firstDataRow="1" firstDataCol="1" rowPageCount="1" colPageCount="1"/>
  <pivotFields count="31">
    <pivotField numFmtId="16" showAll="0">
      <items count="88">
        <item m="1" x="82"/>
        <item m="1" x="50"/>
        <item m="1" x="73"/>
        <item m="1" x="41"/>
        <item m="1" x="64"/>
        <item m="1" x="80"/>
        <item m="1" x="48"/>
        <item m="1" x="70"/>
        <item m="1" x="39"/>
        <item m="1" x="62"/>
        <item m="1" x="32"/>
        <item m="1" x="55"/>
        <item m="1" x="78"/>
        <item m="1" x="46"/>
        <item m="1" x="68"/>
        <item m="1" x="37"/>
        <item m="1" x="60"/>
        <item m="1" x="75"/>
        <item m="1" x="43"/>
        <item m="1" x="66"/>
        <item m="1" x="35"/>
        <item m="1" x="58"/>
        <item m="1" x="72"/>
        <item m="1" x="86"/>
        <item m="1" x="54"/>
        <item m="1" x="77"/>
        <item m="1" x="45"/>
        <item m="1" x="67"/>
        <item m="1" x="36"/>
        <item m="1" x="59"/>
        <item m="1" x="83"/>
        <item m="1" x="51"/>
        <item m="1" x="74"/>
        <item m="1" x="42"/>
        <item m="1" x="65"/>
        <item m="1" x="34"/>
        <item m="1" x="57"/>
        <item m="1" x="81"/>
        <item m="1" x="49"/>
        <item m="1" x="71"/>
        <item m="1" x="40"/>
        <item m="1" x="63"/>
        <item m="1" x="33"/>
        <item m="1" x="56"/>
        <item m="1" x="79"/>
        <item m="1" x="47"/>
        <item m="1" x="69"/>
        <item m="1" x="38"/>
        <item m="1" x="61"/>
        <item m="1" x="84"/>
        <item m="1" x="52"/>
        <item m="1" x="76"/>
        <item m="1" x="44"/>
        <item m="1" x="85"/>
        <item m="1" x="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Page" multipleItemSelectionAllowed="1" showAll="0">
      <items count="16">
        <item m="1" x="14"/>
        <item m="1" x="10"/>
        <item m="1" x="6"/>
        <item m="1" x="11"/>
        <item m="1" x="7"/>
        <item m="1" x="12"/>
        <item m="1" x="8"/>
        <item m="1" x="13"/>
        <item m="1" x="9"/>
        <item x="0"/>
        <item x="1"/>
        <item x="2"/>
        <item x="3"/>
        <item x="4"/>
        <item x="5"/>
        <item t="default"/>
      </items>
    </pivotField>
    <pivotField numFmtId="168" showAll="0"/>
    <pivotField showAll="0"/>
    <pivotField axis="axisRow" showAll="0" sortType="ascending">
      <items count="4">
        <item x="1"/>
        <item x="0"/>
        <item h="1"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numFmtId="20" showAll="0"/>
    <pivotField numFmtId="165" showAll="0"/>
    <pivotField numFmtId="165" showAll="0"/>
    <pivotField showAll="0"/>
    <pivotField showAll="0"/>
    <pivotField showAll="0"/>
    <pivotField showAll="0"/>
    <pivotField showAll="0"/>
    <pivotField showAll="0"/>
    <pivotField dataField="1" numFmtId="166" showAll="0"/>
    <pivotField showAll="0"/>
    <pivotField showAll="0"/>
    <pivotField showAll="0"/>
    <pivotField showAll="0"/>
    <pivotField showAll="0"/>
    <pivotField showAll="0"/>
    <pivotField showAll="0"/>
    <pivotField showAll="0"/>
    <pivotField showAll="0"/>
    <pivotField showAll="0"/>
  </pivotFields>
  <rowFields count="1">
    <field x="4"/>
  </rowFields>
  <rowItems count="3">
    <i>
      <x/>
    </i>
    <i>
      <x v="1"/>
    </i>
    <i t="grand">
      <x/>
    </i>
  </rowItems>
  <colItems count="1">
    <i/>
  </colItems>
  <pageFields count="1">
    <pageField fld="1" hier="-1"/>
  </pageFields>
  <dataFields count="1">
    <dataField name="Suma de CONSOLIDADO DE TODAS LAS OPERACIONES" fld="20" baseField="0" baseItem="0"/>
  </dataFields>
  <chartFormats count="2">
    <chartFormat chart="0" format="19" series="1">
      <pivotArea type="data" outline="0" fieldPosition="0">
        <references count="1">
          <reference field="4294967294" count="1" selected="0">
            <x v="0"/>
          </reference>
        </references>
      </pivotArea>
    </chartFormat>
    <chartFormat chart="5" format="2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1" cacheId="0" dataPosition="0" applyNumberFormats="0" applyBorderFormats="0" applyFontFormats="0" applyPatternFormats="0" applyAlignmentFormats="0" applyWidthHeightFormats="1" dataCaption="Valores" updatedVersion="4" minRefreshableVersion="3" useAutoFormatting="1" itemPrintTitles="1" createdVersion="6" indent="0" outline="1" outlineData="1" multipleFieldFilters="0" chartFormat="4">
  <location ref="H3:I36" firstHeaderRow="1" firstDataRow="1" firstDataCol="1" rowPageCount="1" colPageCount="1"/>
  <pivotFields count="31">
    <pivotField axis="axisRow" numFmtId="16" showAll="0">
      <items count="88">
        <item m="1" x="82"/>
        <item m="1" x="50"/>
        <item m="1" x="73"/>
        <item m="1" x="41"/>
        <item m="1" x="64"/>
        <item m="1" x="80"/>
        <item m="1" x="48"/>
        <item m="1" x="70"/>
        <item m="1" x="39"/>
        <item m="1" x="62"/>
        <item m="1" x="78"/>
        <item m="1" x="46"/>
        <item m="1" x="68"/>
        <item m="1" x="37"/>
        <item m="1" x="60"/>
        <item m="1" x="75"/>
        <item m="1" x="43"/>
        <item m="1" x="66"/>
        <item m="1" x="35"/>
        <item m="1" x="58"/>
        <item m="1" x="72"/>
        <item m="1" x="32"/>
        <item m="1" x="55"/>
        <item m="1" x="86"/>
        <item m="1" x="54"/>
        <item m="1" x="77"/>
        <item m="1" x="45"/>
        <item m="1" x="67"/>
        <item m="1" x="36"/>
        <item m="1" x="59"/>
        <item m="1" x="83"/>
        <item m="1" x="51"/>
        <item m="1" x="74"/>
        <item m="1" x="42"/>
        <item m="1" x="65"/>
        <item m="1" x="34"/>
        <item m="1" x="57"/>
        <item m="1" x="81"/>
        <item m="1" x="49"/>
        <item m="1" x="71"/>
        <item m="1" x="40"/>
        <item m="1" x="63"/>
        <item m="1" x="33"/>
        <item m="1" x="56"/>
        <item m="1" x="79"/>
        <item m="1" x="47"/>
        <item m="1" x="69"/>
        <item m="1" x="38"/>
        <item m="1" x="61"/>
        <item m="1" x="84"/>
        <item m="1" x="52"/>
        <item m="1" x="76"/>
        <item m="1" x="44"/>
        <item m="1" x="85"/>
        <item m="1" x="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Page" multipleItemSelectionAllowed="1" showAll="0">
      <items count="16">
        <item m="1" x="14"/>
        <item m="1" x="10"/>
        <item m="1" x="6"/>
        <item m="1" x="11"/>
        <item m="1" x="7"/>
        <item m="1" x="12"/>
        <item m="1" x="8"/>
        <item m="1" x="13"/>
        <item m="1" x="9"/>
        <item x="0"/>
        <item x="1"/>
        <item x="2"/>
        <item x="3"/>
        <item x="4"/>
        <item x="5"/>
        <item t="default"/>
      </items>
    </pivotField>
    <pivotField numFmtId="168" showAll="0"/>
    <pivotField showAll="0"/>
    <pivotField showAll="0"/>
    <pivotField showAll="0"/>
    <pivotField showAll="0"/>
    <pivotField showAll="0"/>
    <pivotField showAll="0"/>
    <pivotField showAll="0"/>
    <pivotField showAll="0"/>
    <pivotField numFmtId="20" showAll="0"/>
    <pivotField numFmtId="165" showAll="0"/>
    <pivotField showAll="0"/>
    <pivotField showAll="0"/>
    <pivotField showAll="0"/>
    <pivotField showAll="0"/>
    <pivotField showAll="0"/>
    <pivotField showAll="0"/>
    <pivotField showAll="0"/>
    <pivotField numFmtId="166" showAll="0"/>
    <pivotField dataField="1" showAll="0"/>
    <pivotField showAll="0"/>
    <pivotField showAll="0"/>
    <pivotField showAll="0"/>
    <pivotField showAll="0"/>
    <pivotField showAll="0"/>
    <pivotField showAll="0"/>
    <pivotField showAll="0"/>
    <pivotField showAll="0"/>
    <pivotField showAll="0"/>
  </pivotFields>
  <rowFields count="1">
    <field x="0"/>
  </rowFields>
  <rowItems count="3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Items count="1">
    <i/>
  </colItems>
  <pageFields count="1">
    <pageField fld="1" hier="-1"/>
  </pageFields>
  <dataFields count="1">
    <dataField name="Suma de RESULTADO DEL DÍA" fld="21" baseField="0" baseItem="0"/>
  </dataFields>
  <formats count="6">
    <format dxfId="534">
      <pivotArea type="all" dataOnly="0" outline="0" fieldPosition="0"/>
    </format>
    <format dxfId="533">
      <pivotArea outline="0" collapsedLevelsAreSubtotals="1" fieldPosition="0"/>
    </format>
    <format dxfId="532">
      <pivotArea field="0" type="button" dataOnly="0" labelOnly="1" outline="0" axis="axisRow" fieldPosition="0"/>
    </format>
    <format dxfId="531">
      <pivotArea dataOnly="0" labelOnly="1" fieldPosition="0">
        <references count="1">
          <reference field="0" count="5">
            <x v="0"/>
            <x v="1"/>
            <x v="2"/>
            <x v="3"/>
            <x v="4"/>
          </reference>
        </references>
      </pivotArea>
    </format>
    <format dxfId="530">
      <pivotArea dataOnly="0" labelOnly="1" grandRow="1" outline="0" fieldPosition="0"/>
    </format>
    <format dxfId="529">
      <pivotArea dataOnly="0" labelOnly="1" outline="0" axis="axisValues" fieldPosition="0"/>
    </format>
  </formats>
  <chartFormats count="8">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2" series="1">
      <pivotArea type="data" outline="0" fieldPosition="0">
        <references count="2">
          <reference field="4294967294" count="1" selected="0">
            <x v="0"/>
          </reference>
          <reference field="0" count="1" selected="0">
            <x v="2"/>
          </reference>
        </references>
      </pivotArea>
    </chartFormat>
    <chartFormat chart="1" format="3" series="1">
      <pivotArea type="data" outline="0" fieldPosition="0">
        <references count="2">
          <reference field="4294967294" count="1" selected="0">
            <x v="0"/>
          </reference>
          <reference field="0" count="1" selected="0">
            <x v="3"/>
          </reference>
        </references>
      </pivotArea>
    </chartFormat>
    <chartFormat chart="1" format="4" series="1">
      <pivotArea type="data" outline="0" fieldPosition="0">
        <references count="2">
          <reference field="4294967294" count="1" selected="0">
            <x v="0"/>
          </reference>
          <reference field="0" count="1" selected="0">
            <x v="4"/>
          </reference>
        </references>
      </pivotArea>
    </chartFormat>
    <chartFormat chart="3" format="7"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3"/>
          </reference>
        </references>
      </pivotArea>
    </chartFormat>
    <chartFormat chart="3" format="10">
      <pivotArea type="data" outline="0" fieldPosition="0">
        <references count="2">
          <reference field="4294967294" count="1" selected="0">
            <x v="0"/>
          </reference>
          <reference field="0"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3" cacheId="0" applyNumberFormats="0" applyBorderFormats="0" applyFontFormats="0" applyPatternFormats="0" applyAlignmentFormats="0" applyWidthHeightFormats="1" dataCaption="Valores" updatedVersion="4" minRefreshableVersion="3" useAutoFormatting="1" itemPrintTitles="1" createdVersion="6" indent="0" outline="1" outlineData="1" multipleFieldFilters="0" chartFormat="3">
  <location ref="H82:J115" firstHeaderRow="0" firstDataRow="1" firstDataCol="1" rowPageCount="1" colPageCount="1"/>
  <pivotFields count="31">
    <pivotField numFmtId="16" showAll="0">
      <items count="88">
        <item m="1" x="82"/>
        <item m="1" x="50"/>
        <item m="1" x="73"/>
        <item m="1" x="41"/>
        <item m="1" x="64"/>
        <item m="1" x="80"/>
        <item m="1" x="48"/>
        <item m="1" x="70"/>
        <item m="1" x="39"/>
        <item m="1" x="62"/>
        <item m="1" x="32"/>
        <item m="1" x="55"/>
        <item m="1" x="78"/>
        <item m="1" x="46"/>
        <item m="1" x="68"/>
        <item m="1" x="37"/>
        <item m="1" x="60"/>
        <item m="1" x="75"/>
        <item m="1" x="43"/>
        <item m="1" x="66"/>
        <item m="1" x="35"/>
        <item m="1" x="58"/>
        <item m="1" x="72"/>
        <item m="1" x="86"/>
        <item m="1" x="54"/>
        <item m="1" x="77"/>
        <item m="1" x="45"/>
        <item m="1" x="67"/>
        <item m="1" x="36"/>
        <item m="1" x="59"/>
        <item m="1" x="83"/>
        <item m="1" x="51"/>
        <item m="1" x="74"/>
        <item m="1" x="42"/>
        <item m="1" x="65"/>
        <item m="1" x="34"/>
        <item m="1" x="57"/>
        <item m="1" x="81"/>
        <item m="1" x="49"/>
        <item m="1" x="71"/>
        <item m="1" x="40"/>
        <item m="1" x="63"/>
        <item m="1" x="33"/>
        <item m="1" x="56"/>
        <item m="1" x="79"/>
        <item m="1" x="47"/>
        <item m="1" x="69"/>
        <item m="1" x="38"/>
        <item m="1" x="61"/>
        <item m="1" x="84"/>
        <item m="1" x="52"/>
        <item m="1" x="76"/>
        <item m="1" x="44"/>
        <item m="1" x="85"/>
        <item m="1" x="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axis="axisPage" multipleItemSelectionAllowed="1" showAll="0">
      <items count="16">
        <item m="1" x="14"/>
        <item m="1" x="10"/>
        <item m="1" x="6"/>
        <item m="1" x="11"/>
        <item m="1" x="7"/>
        <item m="1" x="12"/>
        <item m="1" x="8"/>
        <item m="1" x="13"/>
        <item m="1" x="9"/>
        <item x="0"/>
        <item x="1"/>
        <item x="2"/>
        <item x="3"/>
        <item x="4"/>
        <item x="5"/>
        <item t="default"/>
      </items>
    </pivotField>
    <pivotField axis="axisRow" numFmtId="168" showAll="0">
      <items count="88">
        <item m="1" x="82"/>
        <item m="1" x="50"/>
        <item m="1" x="73"/>
        <item m="1" x="41"/>
        <item m="1" x="64"/>
        <item m="1" x="80"/>
        <item m="1" x="48"/>
        <item m="1" x="70"/>
        <item m="1" x="39"/>
        <item m="1" x="62"/>
        <item m="1" x="78"/>
        <item m="1" x="46"/>
        <item m="1" x="68"/>
        <item m="1" x="37"/>
        <item m="1" x="60"/>
        <item m="1" x="75"/>
        <item m="1" x="43"/>
        <item m="1" x="66"/>
        <item m="1" x="35"/>
        <item m="1" x="58"/>
        <item m="1" x="72"/>
        <item m="1" x="32"/>
        <item m="1" x="55"/>
        <item m="1" x="86"/>
        <item m="1" x="54"/>
        <item m="1" x="77"/>
        <item m="1" x="45"/>
        <item m="1" x="67"/>
        <item m="1" x="36"/>
        <item m="1" x="59"/>
        <item m="1" x="83"/>
        <item m="1" x="51"/>
        <item m="1" x="74"/>
        <item m="1" x="42"/>
        <item m="1" x="65"/>
        <item m="1" x="34"/>
        <item m="1" x="57"/>
        <item m="1" x="81"/>
        <item m="1" x="49"/>
        <item m="1" x="71"/>
        <item m="1" x="40"/>
        <item m="1" x="63"/>
        <item m="1" x="33"/>
        <item m="1" x="56"/>
        <item m="1" x="79"/>
        <item m="1" x="47"/>
        <item m="1" x="69"/>
        <item m="1" x="38"/>
        <item m="1" x="61"/>
        <item m="1" x="84"/>
        <item m="1" x="52"/>
        <item m="1" x="76"/>
        <item m="1" x="44"/>
        <item m="1" x="85"/>
        <item m="1" x="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t="default"/>
      </items>
    </pivotField>
    <pivotField showAll="0"/>
    <pivotField showAll="0"/>
    <pivotField showAll="0"/>
    <pivotField showAll="0"/>
    <pivotField showAll="0"/>
    <pivotField showAll="0"/>
    <pivotField showAll="0"/>
    <pivotField showAll="0"/>
    <pivotField numFmtId="20" showAll="0"/>
    <pivotField numFmtId="165"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 showAll="0"/>
    <pivotField showAll="0"/>
    <pivotField dataField="1" showAll="0"/>
    <pivotField dataField="1" showAll="0"/>
  </pivotFields>
  <rowFields count="1">
    <field x="2"/>
  </rowFields>
  <rowItems count="33">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t="grand">
      <x/>
    </i>
  </rowItems>
  <colFields count="1">
    <field x="-2"/>
  </colFields>
  <colItems count="2">
    <i>
      <x/>
    </i>
    <i i="1">
      <x v="1"/>
    </i>
  </colItems>
  <pageFields count="1">
    <pageField fld="1" hier="-1"/>
  </pageFields>
  <dataFields count="2">
    <dataField name="Suma de Total Positivo" fld="29" baseField="0" baseItem="2"/>
    <dataField name="Suma de Total Negativo" fld="30" baseField="0" baseItem="0"/>
  </dataFields>
  <chartFormats count="4">
    <chartFormat chart="0" format="1" series="1">
      <pivotArea type="data" outline="0" fieldPosition="0">
        <references count="1">
          <reference field="4294967294" count="1" selected="0">
            <x v="0"/>
          </reference>
        </references>
      </pivotArea>
    </chartFormat>
    <chartFormat chart="0" format="2" series="1">
      <pivotArea type="data" outline="0" fieldPosition="0">
        <references count="1">
          <reference field="4294967294" count="1" selected="0">
            <x v="1"/>
          </reference>
        </references>
      </pivotArea>
    </chartFormat>
    <chartFormat chart="2" format="5" series="1">
      <pivotArea type="data" outline="0" fieldPosition="0">
        <references count="1">
          <reference field="4294967294" count="1" selected="0">
            <x v="0"/>
          </reference>
        </references>
      </pivotArea>
    </chartFormat>
    <chartFormat chart="2"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SEMANA" sourceName="SEMANA">
  <pivotTables>
    <pivotTable tabId="6" name="1"/>
    <pivotTable tabId="6" name="2"/>
    <pivotTable tabId="6" name="5"/>
    <pivotTable tabId="6" name="3"/>
    <pivotTable tabId="6" name="7"/>
    <pivotTable tabId="6" name="6"/>
    <pivotTable tabId="6" name="TablaDinámica1"/>
  </pivotTables>
  <data>
    <tabular pivotCacheId="1775792">
      <items count="15">
        <i x="0" s="1"/>
        <i x="1" s="1"/>
        <i x="2" s="1"/>
        <i x="3" s="1"/>
        <i x="4" s="1"/>
        <i x="5" s="1"/>
        <i x="14" s="1" nd="1"/>
        <i x="10" s="1" nd="1"/>
        <i x="6" s="1" nd="1"/>
        <i x="11" s="1" nd="1"/>
        <i x="7" s="1" nd="1"/>
        <i x="12" s="1" nd="1"/>
        <i x="8" s="1" nd="1"/>
        <i x="13" s="1" nd="1"/>
        <i x="9"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FECHA" sourceName="FECHA">
  <pivotTables>
    <pivotTable tabId="6" name="1"/>
    <pivotTable tabId="6" name="2"/>
    <pivotTable tabId="6" name="6"/>
    <pivotTable tabId="6" name="7"/>
    <pivotTable tabId="6" name="3"/>
    <pivotTable tabId="6" name="TablaDinámica1"/>
    <pivotTable tabId="6" name="5"/>
  </pivotTables>
  <data>
    <tabular pivotCacheId="1775792">
      <items count="87">
        <i x="0" s="1"/>
        <i x="1" s="1"/>
        <i x="2" s="1"/>
        <i x="3" s="1"/>
        <i x="4" s="1"/>
        <i x="5" s="1"/>
        <i x="6" s="1"/>
        <i x="7" s="1"/>
        <i x="8" s="1"/>
        <i x="9" s="1"/>
        <i x="10" s="1"/>
        <i x="11" s="1"/>
        <i x="12" s="1"/>
        <i x="13" s="1"/>
        <i x="14" s="1"/>
        <i x="15" s="1"/>
        <i x="16" s="1"/>
        <i x="17" s="1"/>
        <i x="18" s="1"/>
        <i x="19" s="1"/>
        <i x="20" s="1"/>
        <i x="21" s="1"/>
        <i x="22" s="1"/>
        <i x="23" s="1"/>
        <i x="24" s="1"/>
        <i x="25" s="1"/>
        <i x="26" s="1"/>
        <i x="27" s="1"/>
        <i x="28" s="1"/>
        <i x="29" s="1"/>
        <i x="30" s="1"/>
        <i x="31" s="1"/>
        <i x="82" s="1" nd="1"/>
        <i x="50" s="1" nd="1"/>
        <i x="73" s="1" nd="1"/>
        <i x="41" s="1" nd="1"/>
        <i x="64" s="1" nd="1"/>
        <i x="80" s="1" nd="1"/>
        <i x="48" s="1" nd="1"/>
        <i x="70" s="1" nd="1"/>
        <i x="39" s="1" nd="1"/>
        <i x="62" s="1" nd="1"/>
        <i x="32" s="1" nd="1"/>
        <i x="55" s="1" nd="1"/>
        <i x="78" s="1" nd="1"/>
        <i x="46" s="1" nd="1"/>
        <i x="68" s="1" nd="1"/>
        <i x="37" s="1" nd="1"/>
        <i x="60" s="1" nd="1"/>
        <i x="75" s="1" nd="1"/>
        <i x="43" s="1" nd="1"/>
        <i x="66" s="1" nd="1"/>
        <i x="35" s="1" nd="1"/>
        <i x="58" s="1" nd="1"/>
        <i x="72" s="1" nd="1"/>
        <i x="86" s="1" nd="1"/>
        <i x="54" s="1" nd="1"/>
        <i x="77" s="1" nd="1"/>
        <i x="45" s="1" nd="1"/>
        <i x="67" s="1" nd="1"/>
        <i x="36" s="1" nd="1"/>
        <i x="59" s="1" nd="1"/>
        <i x="83" s="1" nd="1"/>
        <i x="51" s="1" nd="1"/>
        <i x="74" s="1" nd="1"/>
        <i x="42" s="1" nd="1"/>
        <i x="65" s="1" nd="1"/>
        <i x="34" s="1" nd="1"/>
        <i x="57" s="1" nd="1"/>
        <i x="81" s="1" nd="1"/>
        <i x="49" s="1" nd="1"/>
        <i x="71" s="1" nd="1"/>
        <i x="40" s="1" nd="1"/>
        <i x="63" s="1" nd="1"/>
        <i x="33" s="1" nd="1"/>
        <i x="56" s="1" nd="1"/>
        <i x="79" s="1" nd="1"/>
        <i x="47" s="1" nd="1"/>
        <i x="69" s="1" nd="1"/>
        <i x="38" s="1" nd="1"/>
        <i x="61" s="1" nd="1"/>
        <i x="84" s="1" nd="1"/>
        <i x="52" s="1" nd="1"/>
        <i x="76" s="1" nd="1"/>
        <i x="44" s="1" nd="1"/>
        <i x="85" s="1" nd="1"/>
        <i x="5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EMANA" cache="SegmentaciónDeDatos_SEMANA" caption="SEMANA" style="formato2" rowHeight="241300"/>
  <slicer name="FECHA" cache="SegmentaciónDeDatos_FECHA" caption="FECHA" startItem="2" style="formato2" rowHeight="241300"/>
</slicers>
</file>

<file path=xl/tables/table1.xml><?xml version="1.0" encoding="utf-8"?>
<table xmlns="http://schemas.openxmlformats.org/spreadsheetml/2006/main" id="1" name="Tabla1" displayName="Tabla1" ref="A1:AE366" totalsRowShown="0" headerRowDxfId="522" dataDxfId="521">
  <autoFilter ref="A1:AE366"/>
  <tableColumns count="31">
    <tableColumn id="1" name="FECHA" dataDxfId="520">
      <calculatedColumnFormula>+A1</calculatedColumnFormula>
    </tableColumn>
    <tableColumn id="2" name="SEMANA" dataDxfId="519">
      <calculatedColumnFormula>+B1</calculatedColumnFormula>
    </tableColumn>
    <tableColumn id="3" name="DÍAS" dataDxfId="518">
      <calculatedColumnFormula>+A2</calculatedColumnFormula>
    </tableColumn>
    <tableColumn id="4" name="N°" dataDxfId="517"/>
    <tableColumn id="5" name="TIPO DE OPERACIÓN" dataDxfId="516"/>
    <tableColumn id="6" name="HORA DE APERTURA" dataDxfId="515"/>
    <tableColumn id="7" name="PRECIO DE ENTRADA" dataDxfId="514"/>
    <tableColumn id="8" name="ENTRY STRATEGY" dataDxfId="513"/>
    <tableColumn id="9" name="HORA DE SALIDA" dataDxfId="512"/>
    <tableColumn id="10" name="PRECIO DE SALIDA" dataDxfId="511"/>
    <tableColumn id="11" name="EXIT REASON" dataDxfId="510"/>
    <tableColumn id="12" name="TIEMPO DE VUELO" dataDxfId="509">
      <calculatedColumnFormula>+I2-F2</calculatedColumnFormula>
    </tableColumn>
    <tableColumn id="13" name="DIFERENCIA EN MONEDA" dataDxfId="508">
      <calculatedColumnFormula>+IF(E2="buy",G2-J2,J2-G2)</calculatedColumnFormula>
    </tableColumn>
    <tableColumn id="14" name="FACTOR _x000a_CONT.MICRO" dataDxfId="507"/>
    <tableColumn id="15" name="N° CONTRATOS" dataDxfId="506"/>
    <tableColumn id="16" name="Comision" dataDxfId="505">
      <calculatedColumnFormula>+IF(G2&gt;0,O2*1,0)</calculatedColumnFormula>
    </tableColumn>
    <tableColumn id="17" name="FC" dataDxfId="504"/>
    <tableColumn id="18" name="FR" dataDxfId="503"/>
    <tableColumn id="19" name="NE" dataDxfId="502"/>
    <tableColumn id="20" name="BS" dataDxfId="501"/>
    <tableColumn id="21" name="CONSOLIDADO DE TODAS LAS OPERACIONES" dataDxfId="500">
      <calculatedColumnFormula>+O2*N2*M2-P2</calculatedColumnFormula>
    </tableColumn>
    <tableColumn id="22" name="RESULTADO DEL DÍA" dataDxfId="499"/>
    <tableColumn id="33" name="Total Cuenta Real" dataDxfId="498">
      <calculatedColumnFormula>2584+Tabla1[[#This Row],[RESULTADO DEL DÍA]]</calculatedColumnFormula>
    </tableColumn>
    <tableColumn id="32" name="Cuenta mas Objetivo" dataDxfId="497"/>
    <tableColumn id="34" name="Perdidad  presupuestada" dataDxfId="496">
      <calculatedColumnFormula>1650*0.02</calculatedColumnFormula>
    </tableColumn>
    <tableColumn id="31" name="Objetivo presupuestado" dataDxfId="495">
      <calculatedColumnFormula>1650*0.03</calculatedColumnFormula>
    </tableColumn>
    <tableColumn id="24" name="PF" dataDxfId="494"/>
    <tableColumn id="25" name="AB" dataDxfId="493"/>
    <tableColumn id="27" name="Cuenta N° de Operaciones" dataDxfId="492">
      <calculatedColumnFormula>+IF(J2&gt;0,1,"")</calculatedColumnFormula>
    </tableColumn>
    <tableColumn id="28" name="Total Positivo" dataDxfId="491">
      <calculatedColumnFormula>+IF(M2&gt;0,M2,"")</calculatedColumnFormula>
    </tableColumn>
    <tableColumn id="29" name="Total Negativo" dataDxfId="490">
      <calculatedColumnFormula>+IF(M2&lt;0,M2,"")</calculatedColumnFormula>
    </tableColumn>
  </tableColumns>
  <tableStyleInfo name="TableStyleDark11"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microsoft.com/office/2007/relationships/slicer" Target="../slicers/slicer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H1:AU216"/>
  <sheetViews>
    <sheetView topLeftCell="A127" zoomScale="40" zoomScaleNormal="40" workbookViewId="0">
      <selection activeCell="I85" sqref="I85"/>
    </sheetView>
  </sheetViews>
  <sheetFormatPr baseColWidth="10" defaultColWidth="11" defaultRowHeight="14.25" x14ac:dyDescent="0.2"/>
  <cols>
    <col min="1" max="7" width="11" style="44"/>
    <col min="8" max="8" width="26.375" style="44" bestFit="1" customWidth="1"/>
    <col min="9" max="9" width="28" style="44" customWidth="1"/>
    <col min="10" max="10" width="28.25" style="44" customWidth="1"/>
    <col min="11" max="13" width="5.875" style="44" bestFit="1" customWidth="1"/>
    <col min="14" max="14" width="12.625" style="44" bestFit="1" customWidth="1"/>
    <col min="15" max="15" width="41.125" style="44" customWidth="1"/>
    <col min="16" max="16" width="26.375" style="44" customWidth="1"/>
    <col min="17" max="17" width="63.625" style="44" customWidth="1"/>
    <col min="18" max="18" width="6.75" style="44" customWidth="1"/>
    <col min="19" max="21" width="6.75" style="44" bestFit="1" customWidth="1"/>
    <col min="22" max="22" width="14.25" style="44" customWidth="1"/>
    <col min="23" max="23" width="17.375" style="44" bestFit="1" customWidth="1"/>
    <col min="24" max="24" width="15.625" style="44" bestFit="1" customWidth="1"/>
    <col min="25" max="33" width="6.75" style="44" bestFit="1" customWidth="1"/>
    <col min="34" max="35" width="6.25" style="44" bestFit="1" customWidth="1"/>
    <col min="36" max="36" width="6.75" style="44" bestFit="1" customWidth="1"/>
    <col min="37" max="37" width="6.5" style="44" bestFit="1" customWidth="1"/>
    <col min="38" max="38" width="6.25" style="44" bestFit="1" customWidth="1"/>
    <col min="39" max="39" width="6.75" style="44" bestFit="1" customWidth="1"/>
    <col min="40" max="40" width="6.25" style="44" bestFit="1" customWidth="1"/>
    <col min="41" max="41" width="6.75" style="44" bestFit="1" customWidth="1"/>
    <col min="42" max="43" width="6.25" style="44" bestFit="1" customWidth="1"/>
    <col min="44" max="46" width="6.75" style="44" bestFit="1" customWidth="1"/>
    <col min="47" max="47" width="15.625" style="44" bestFit="1" customWidth="1"/>
    <col min="48" max="16384" width="11" style="44"/>
  </cols>
  <sheetData>
    <row r="1" spans="8:18" x14ac:dyDescent="0.2">
      <c r="H1" s="44" t="s">
        <v>21</v>
      </c>
      <c r="I1" s="44" t="s">
        <v>75</v>
      </c>
    </row>
    <row r="2" spans="8:18" x14ac:dyDescent="0.2">
      <c r="P2" s="41" t="s">
        <v>31</v>
      </c>
      <c r="Q2" t="s">
        <v>33</v>
      </c>
      <c r="R2"/>
    </row>
    <row r="3" spans="8:18" x14ac:dyDescent="0.2">
      <c r="H3" s="44" t="s">
        <v>31</v>
      </c>
      <c r="I3" s="44" t="s">
        <v>33</v>
      </c>
      <c r="J3"/>
      <c r="K3"/>
      <c r="L3"/>
      <c r="M3"/>
      <c r="N3"/>
      <c r="P3" s="5">
        <v>47</v>
      </c>
      <c r="Q3" s="3">
        <v>12.699999999999317</v>
      </c>
      <c r="R3"/>
    </row>
    <row r="4" spans="8:18" x14ac:dyDescent="0.2">
      <c r="H4" s="45">
        <v>44155</v>
      </c>
      <c r="I4" s="46">
        <v>12.699999999999317</v>
      </c>
      <c r="J4"/>
      <c r="K4"/>
      <c r="L4"/>
      <c r="M4"/>
      <c r="N4"/>
      <c r="P4" s="5">
        <v>48</v>
      </c>
      <c r="Q4" s="3">
        <v>88.999999999999545</v>
      </c>
      <c r="R4"/>
    </row>
    <row r="5" spans="8:18" x14ac:dyDescent="0.2">
      <c r="H5" s="45">
        <v>44156</v>
      </c>
      <c r="I5" s="46">
        <v>0</v>
      </c>
      <c r="J5"/>
      <c r="K5"/>
      <c r="L5"/>
      <c r="M5"/>
      <c r="N5"/>
      <c r="P5" s="5">
        <v>49</v>
      </c>
      <c r="Q5" s="3">
        <v>-71.099999999998644</v>
      </c>
      <c r="R5"/>
    </row>
    <row r="6" spans="8:18" x14ac:dyDescent="0.2">
      <c r="H6" s="45">
        <v>44157</v>
      </c>
      <c r="I6" s="46">
        <v>0</v>
      </c>
      <c r="J6"/>
      <c r="K6"/>
      <c r="L6"/>
      <c r="M6"/>
      <c r="N6"/>
      <c r="P6" s="5">
        <v>50</v>
      </c>
      <c r="Q6" s="3">
        <v>25.600000000001366</v>
      </c>
      <c r="R6"/>
    </row>
    <row r="7" spans="8:18" x14ac:dyDescent="0.2">
      <c r="H7" s="45">
        <v>44158</v>
      </c>
      <c r="I7" s="46">
        <v>29.2</v>
      </c>
      <c r="J7"/>
      <c r="P7" s="5">
        <v>51</v>
      </c>
      <c r="Q7" s="3">
        <v>0</v>
      </c>
      <c r="R7"/>
    </row>
    <row r="8" spans="8:18" x14ac:dyDescent="0.2">
      <c r="H8" s="45">
        <v>44159</v>
      </c>
      <c r="I8" s="46">
        <v>43.4</v>
      </c>
      <c r="J8"/>
      <c r="P8" s="5">
        <v>52</v>
      </c>
      <c r="Q8" s="3">
        <v>0</v>
      </c>
      <c r="R8"/>
    </row>
    <row r="9" spans="8:18" x14ac:dyDescent="0.2">
      <c r="H9" s="45">
        <v>44160</v>
      </c>
      <c r="I9" s="46">
        <v>7.7000000000002276</v>
      </c>
      <c r="J9"/>
      <c r="P9" s="5" t="s">
        <v>32</v>
      </c>
      <c r="Q9" s="3">
        <v>56.200000000001587</v>
      </c>
      <c r="R9"/>
    </row>
    <row r="10" spans="8:18" x14ac:dyDescent="0.2">
      <c r="H10" s="45">
        <v>44161</v>
      </c>
      <c r="I10" s="46">
        <v>0</v>
      </c>
      <c r="J10"/>
      <c r="P10"/>
      <c r="Q10"/>
      <c r="R10"/>
    </row>
    <row r="11" spans="8:18" x14ac:dyDescent="0.2">
      <c r="H11" s="45">
        <v>44162</v>
      </c>
      <c r="I11" s="46">
        <v>8.6999999999993172</v>
      </c>
      <c r="J11"/>
      <c r="P11"/>
      <c r="Q11"/>
      <c r="R11"/>
    </row>
    <row r="12" spans="8:18" x14ac:dyDescent="0.2">
      <c r="H12" s="45">
        <v>44163</v>
      </c>
      <c r="I12" s="46">
        <v>0</v>
      </c>
      <c r="J12"/>
      <c r="P12"/>
      <c r="Q12"/>
      <c r="R12"/>
    </row>
    <row r="13" spans="8:18" x14ac:dyDescent="0.2">
      <c r="H13" s="45">
        <v>44164</v>
      </c>
      <c r="I13" s="46">
        <v>0</v>
      </c>
      <c r="J13"/>
      <c r="P13" s="1"/>
      <c r="Q13" s="1"/>
      <c r="R13" s="1"/>
    </row>
    <row r="14" spans="8:18" x14ac:dyDescent="0.2">
      <c r="H14" s="45">
        <v>44165</v>
      </c>
      <c r="I14" s="46">
        <v>-41.6</v>
      </c>
      <c r="J14"/>
      <c r="P14" s="1"/>
      <c r="Q14" s="1"/>
      <c r="R14" s="1"/>
    </row>
    <row r="15" spans="8:18" x14ac:dyDescent="0.2">
      <c r="H15" s="45">
        <v>44166</v>
      </c>
      <c r="I15" s="46">
        <v>18.300000000000907</v>
      </c>
      <c r="J15"/>
      <c r="P15" s="1"/>
      <c r="Q15" s="1"/>
      <c r="R15" s="1"/>
    </row>
    <row r="16" spans="8:18" x14ac:dyDescent="0.2">
      <c r="H16" s="45">
        <v>44167</v>
      </c>
      <c r="I16" s="46">
        <v>-0.29999999999931792</v>
      </c>
      <c r="J16"/>
      <c r="P16" s="1"/>
      <c r="Q16" s="1"/>
      <c r="R16" s="1"/>
    </row>
    <row r="17" spans="8:18" x14ac:dyDescent="0.2">
      <c r="H17" s="45">
        <v>44168</v>
      </c>
      <c r="I17" s="46">
        <v>-47.199999999999775</v>
      </c>
      <c r="J17"/>
      <c r="P17" s="1"/>
      <c r="Q17" s="1"/>
      <c r="R17" s="1"/>
    </row>
    <row r="18" spans="8:18" x14ac:dyDescent="0.2">
      <c r="H18" s="45">
        <v>44169</v>
      </c>
      <c r="I18" s="46">
        <v>-0.30000000000045479</v>
      </c>
      <c r="J18"/>
      <c r="P18" s="1"/>
      <c r="Q18" s="1"/>
      <c r="R18" s="1"/>
    </row>
    <row r="19" spans="8:18" x14ac:dyDescent="0.2">
      <c r="H19" s="45">
        <v>44170</v>
      </c>
      <c r="I19" s="46">
        <v>0</v>
      </c>
      <c r="J19"/>
      <c r="P19" s="1"/>
      <c r="Q19" s="1"/>
      <c r="R19" s="1"/>
    </row>
    <row r="20" spans="8:18" x14ac:dyDescent="0.2">
      <c r="H20" s="45">
        <v>44171</v>
      </c>
      <c r="I20" s="46">
        <v>0</v>
      </c>
      <c r="J20"/>
      <c r="P20" s="1"/>
      <c r="Q20" s="1"/>
      <c r="R20" s="1"/>
    </row>
    <row r="21" spans="8:18" x14ac:dyDescent="0.2">
      <c r="H21" s="45">
        <v>44172</v>
      </c>
      <c r="I21" s="46">
        <v>0</v>
      </c>
      <c r="J21"/>
      <c r="P21" s="1"/>
      <c r="Q21" s="1"/>
      <c r="R21" s="1"/>
    </row>
    <row r="22" spans="8:18" x14ac:dyDescent="0.2">
      <c r="H22" s="45">
        <v>44173</v>
      </c>
      <c r="I22" s="46">
        <v>0</v>
      </c>
      <c r="J22"/>
      <c r="P22" s="1"/>
      <c r="Q22" s="1"/>
      <c r="R22" s="1"/>
    </row>
    <row r="23" spans="8:18" x14ac:dyDescent="0.2">
      <c r="H23" s="45">
        <v>44174</v>
      </c>
      <c r="I23" s="46">
        <v>14.000000000001819</v>
      </c>
      <c r="J23"/>
      <c r="P23" s="1"/>
      <c r="Q23" s="1"/>
      <c r="R23" s="1"/>
    </row>
    <row r="24" spans="8:18" x14ac:dyDescent="0.2">
      <c r="H24" s="45">
        <v>44175</v>
      </c>
      <c r="I24" s="46">
        <v>26.100000000000229</v>
      </c>
      <c r="J24"/>
      <c r="P24" s="1"/>
      <c r="Q24" s="1"/>
      <c r="R24" s="1"/>
    </row>
    <row r="25" spans="8:18" x14ac:dyDescent="0.2">
      <c r="H25" s="45">
        <v>44176</v>
      </c>
      <c r="I25" s="46">
        <v>-14.500000000000684</v>
      </c>
      <c r="J25"/>
      <c r="P25" s="1"/>
      <c r="Q25" s="1"/>
      <c r="R25" s="1"/>
    </row>
    <row r="26" spans="8:18" x14ac:dyDescent="0.2">
      <c r="H26" s="45">
        <v>44177</v>
      </c>
      <c r="I26" s="46">
        <v>0</v>
      </c>
      <c r="J26"/>
      <c r="P26" s="1"/>
      <c r="Q26" s="1"/>
      <c r="R26" s="1"/>
    </row>
    <row r="27" spans="8:18" x14ac:dyDescent="0.2">
      <c r="H27" s="45">
        <v>44178</v>
      </c>
      <c r="I27" s="46">
        <v>0</v>
      </c>
      <c r="J27"/>
      <c r="P27" s="1"/>
      <c r="Q27" s="1"/>
      <c r="R27" s="1"/>
    </row>
    <row r="28" spans="8:18" x14ac:dyDescent="0.2">
      <c r="H28" s="45">
        <v>44179</v>
      </c>
      <c r="I28" s="46">
        <v>0</v>
      </c>
      <c r="J28"/>
      <c r="P28" s="1"/>
      <c r="Q28" s="1"/>
      <c r="R28" s="1"/>
    </row>
    <row r="29" spans="8:18" x14ac:dyDescent="0.2">
      <c r="H29" s="45">
        <v>44180</v>
      </c>
      <c r="I29" s="46">
        <v>0</v>
      </c>
      <c r="J29"/>
      <c r="P29" s="1"/>
      <c r="Q29" s="1"/>
      <c r="R29" s="1"/>
    </row>
    <row r="30" spans="8:18" x14ac:dyDescent="0.2">
      <c r="H30" s="45">
        <v>44181</v>
      </c>
      <c r="I30" s="46">
        <v>0</v>
      </c>
      <c r="J30"/>
      <c r="P30" s="1"/>
      <c r="Q30" s="1"/>
      <c r="R30" s="1"/>
    </row>
    <row r="31" spans="8:18" x14ac:dyDescent="0.2">
      <c r="H31" s="45">
        <v>44182</v>
      </c>
      <c r="I31" s="46">
        <v>0</v>
      </c>
      <c r="J31"/>
      <c r="P31" s="1"/>
      <c r="Q31" s="1"/>
      <c r="R31" s="1"/>
    </row>
    <row r="32" spans="8:18" x14ac:dyDescent="0.2">
      <c r="H32" s="45">
        <v>44183</v>
      </c>
      <c r="I32" s="46">
        <v>0</v>
      </c>
      <c r="J32"/>
      <c r="P32" s="1"/>
      <c r="Q32" s="1"/>
      <c r="R32" s="1"/>
    </row>
    <row r="33" spans="8:18" x14ac:dyDescent="0.2">
      <c r="H33" s="45">
        <v>44184</v>
      </c>
      <c r="I33" s="46"/>
      <c r="J33"/>
      <c r="P33" s="1"/>
      <c r="Q33" s="1"/>
      <c r="R33" s="1"/>
    </row>
    <row r="34" spans="8:18" x14ac:dyDescent="0.2">
      <c r="H34" s="45">
        <v>44185</v>
      </c>
      <c r="I34" s="46"/>
      <c r="J34" s="1"/>
      <c r="P34" s="1"/>
      <c r="Q34" s="1"/>
      <c r="R34" s="1"/>
    </row>
    <row r="35" spans="8:18" x14ac:dyDescent="0.2">
      <c r="H35" s="45">
        <v>44186</v>
      </c>
      <c r="I35" s="46">
        <v>0</v>
      </c>
      <c r="J35" s="1"/>
      <c r="P35" s="1"/>
      <c r="Q35" s="1"/>
      <c r="R35" s="1"/>
    </row>
    <row r="36" spans="8:18" x14ac:dyDescent="0.2">
      <c r="H36" s="45" t="s">
        <v>32</v>
      </c>
      <c r="I36" s="46">
        <v>56.200000000001609</v>
      </c>
      <c r="J36" s="1"/>
      <c r="P36" s="1"/>
      <c r="Q36" s="1"/>
      <c r="R36" s="1"/>
    </row>
    <row r="37" spans="8:18" x14ac:dyDescent="0.2">
      <c r="H37" s="1"/>
      <c r="I37" s="1"/>
      <c r="J37" s="1"/>
      <c r="P37" s="1"/>
      <c r="Q37" s="1"/>
      <c r="R37" s="1"/>
    </row>
    <row r="38" spans="8:18" x14ac:dyDescent="0.2">
      <c r="H38" s="1"/>
      <c r="I38" s="1"/>
      <c r="J38" s="1"/>
      <c r="P38" s="1"/>
      <c r="Q38" s="1"/>
      <c r="R38" s="1"/>
    </row>
    <row r="39" spans="8:18" x14ac:dyDescent="0.2">
      <c r="H39" s="1"/>
      <c r="I39" s="1"/>
      <c r="J39" s="1"/>
      <c r="P39" s="1"/>
      <c r="Q39" s="1"/>
      <c r="R39" s="1"/>
    </row>
    <row r="40" spans="8:18" x14ac:dyDescent="0.2">
      <c r="H40" s="1"/>
      <c r="I40" s="1"/>
      <c r="J40" s="1"/>
      <c r="P40" s="1"/>
      <c r="Q40" s="1"/>
      <c r="R40" s="1"/>
    </row>
    <row r="41" spans="8:18" x14ac:dyDescent="0.2">
      <c r="H41" s="1"/>
      <c r="I41" s="1"/>
      <c r="J41" s="1"/>
      <c r="P41" s="1"/>
      <c r="Q41" s="1"/>
      <c r="R41" s="1"/>
    </row>
    <row r="42" spans="8:18" x14ac:dyDescent="0.2">
      <c r="H42" s="1"/>
      <c r="I42" s="1"/>
      <c r="J42" s="1"/>
      <c r="P42" s="1"/>
      <c r="Q42" s="1"/>
      <c r="R42" s="1"/>
    </row>
    <row r="43" spans="8:18" x14ac:dyDescent="0.2">
      <c r="H43" s="1"/>
      <c r="I43" s="1"/>
      <c r="J43" s="1"/>
      <c r="P43" s="1"/>
      <c r="Q43" s="1"/>
      <c r="R43" s="1"/>
    </row>
    <row r="44" spans="8:18" x14ac:dyDescent="0.2">
      <c r="H44" s="1"/>
      <c r="I44" s="1"/>
      <c r="J44" s="1"/>
      <c r="P44" s="1"/>
      <c r="Q44" s="1"/>
      <c r="R44" s="1"/>
    </row>
    <row r="45" spans="8:18" x14ac:dyDescent="0.2">
      <c r="H45"/>
      <c r="I45"/>
      <c r="J45"/>
      <c r="P45"/>
      <c r="Q45"/>
      <c r="R45"/>
    </row>
    <row r="46" spans="8:18" x14ac:dyDescent="0.2">
      <c r="H46"/>
      <c r="I46"/>
      <c r="J46"/>
      <c r="P46"/>
      <c r="Q46"/>
      <c r="R46"/>
    </row>
    <row r="47" spans="8:18" x14ac:dyDescent="0.2">
      <c r="H47" s="41" t="s">
        <v>21</v>
      </c>
      <c r="I47" s="1" t="s">
        <v>75</v>
      </c>
      <c r="P47"/>
      <c r="Q47"/>
      <c r="R47"/>
    </row>
    <row r="48" spans="8:18" x14ac:dyDescent="0.2">
      <c r="P48" s="41" t="s">
        <v>21</v>
      </c>
      <c r="Q48" s="1" t="s">
        <v>75</v>
      </c>
      <c r="R48"/>
    </row>
    <row r="49" spans="8:38" x14ac:dyDescent="0.2">
      <c r="H49" s="41" t="s">
        <v>31</v>
      </c>
      <c r="I49" s="1" t="s">
        <v>34</v>
      </c>
      <c r="J49" s="1" t="s">
        <v>35</v>
      </c>
      <c r="P49"/>
      <c r="Q49"/>
      <c r="R49"/>
    </row>
    <row r="50" spans="8:38" x14ac:dyDescent="0.2">
      <c r="H50" s="42">
        <v>44155</v>
      </c>
      <c r="I50" s="4">
        <v>2.8999999999998636</v>
      </c>
      <c r="J50" s="65">
        <v>0.5</v>
      </c>
      <c r="P50" s="41" t="s">
        <v>31</v>
      </c>
      <c r="Q50" s="1" t="s">
        <v>41</v>
      </c>
      <c r="R50" s="1" t="s">
        <v>42</v>
      </c>
      <c r="S50"/>
      <c r="T50"/>
      <c r="U50"/>
      <c r="V50"/>
      <c r="W50"/>
      <c r="X50"/>
      <c r="Y50"/>
      <c r="Z50"/>
      <c r="AA50"/>
      <c r="AB50"/>
      <c r="AC50"/>
      <c r="AD50"/>
      <c r="AE50"/>
      <c r="AF50"/>
      <c r="AG50"/>
      <c r="AH50"/>
      <c r="AI50"/>
      <c r="AJ50"/>
      <c r="AK50"/>
      <c r="AL50"/>
    </row>
    <row r="51" spans="8:38" x14ac:dyDescent="0.2">
      <c r="H51" s="42">
        <v>44156</v>
      </c>
      <c r="I51" s="4">
        <v>0</v>
      </c>
      <c r="J51" s="65">
        <v>0</v>
      </c>
      <c r="P51" s="42">
        <v>44155</v>
      </c>
      <c r="Q51" s="3">
        <v>1199</v>
      </c>
      <c r="R51" s="3">
        <v>1249</v>
      </c>
      <c r="S51"/>
      <c r="T51"/>
      <c r="U51"/>
      <c r="V51"/>
      <c r="W51"/>
      <c r="X51"/>
      <c r="Y51"/>
      <c r="Z51"/>
      <c r="AA51"/>
      <c r="AB51"/>
      <c r="AC51"/>
      <c r="AD51"/>
      <c r="AE51"/>
      <c r="AF51"/>
      <c r="AG51"/>
      <c r="AH51"/>
      <c r="AI51"/>
      <c r="AJ51"/>
      <c r="AK51"/>
      <c r="AL51"/>
    </row>
    <row r="52" spans="8:38" x14ac:dyDescent="0.2">
      <c r="H52" s="42">
        <v>44157</v>
      </c>
      <c r="I52" s="4">
        <v>0</v>
      </c>
      <c r="J52" s="65">
        <v>0</v>
      </c>
      <c r="P52" s="42">
        <v>44156</v>
      </c>
      <c r="Q52" s="3">
        <v>1199</v>
      </c>
      <c r="R52" s="3">
        <v>1249</v>
      </c>
      <c r="S52"/>
      <c r="T52"/>
      <c r="U52"/>
      <c r="V52"/>
      <c r="W52"/>
      <c r="X52"/>
      <c r="Y52"/>
      <c r="Z52"/>
      <c r="AA52"/>
      <c r="AB52"/>
      <c r="AC52"/>
      <c r="AD52"/>
      <c r="AE52"/>
      <c r="AF52"/>
      <c r="AG52"/>
      <c r="AH52"/>
      <c r="AI52"/>
      <c r="AJ52"/>
      <c r="AK52"/>
      <c r="AL52"/>
    </row>
    <row r="53" spans="8:38" x14ac:dyDescent="0.2">
      <c r="H53" s="42">
        <v>44158</v>
      </c>
      <c r="I53" s="4">
        <v>6</v>
      </c>
      <c r="J53" s="65">
        <v>1</v>
      </c>
      <c r="P53" s="42">
        <v>44157</v>
      </c>
      <c r="Q53" s="3">
        <v>1199</v>
      </c>
      <c r="R53" s="3">
        <v>1249</v>
      </c>
    </row>
    <row r="54" spans="8:38" x14ac:dyDescent="0.2">
      <c r="H54" s="42">
        <v>44159</v>
      </c>
      <c r="I54" s="4">
        <v>9</v>
      </c>
      <c r="J54" s="65">
        <v>1</v>
      </c>
      <c r="P54" s="42">
        <v>44158</v>
      </c>
      <c r="Q54" s="3">
        <v>1228.2</v>
      </c>
      <c r="R54" s="3">
        <v>1299</v>
      </c>
    </row>
    <row r="55" spans="8:38" x14ac:dyDescent="0.2">
      <c r="H55" s="42">
        <v>44160</v>
      </c>
      <c r="I55" s="4">
        <v>1.7000000000000455</v>
      </c>
      <c r="J55" s="65">
        <v>1</v>
      </c>
      <c r="P55" s="42">
        <v>44159</v>
      </c>
      <c r="Q55" s="3">
        <v>1271.6000000000001</v>
      </c>
      <c r="R55" s="3">
        <v>1349</v>
      </c>
    </row>
    <row r="56" spans="8:38" x14ac:dyDescent="0.2">
      <c r="H56" s="42">
        <v>44161</v>
      </c>
      <c r="I56" s="4">
        <v>0</v>
      </c>
      <c r="J56" s="65">
        <v>0</v>
      </c>
      <c r="P56" s="42">
        <v>44160</v>
      </c>
      <c r="Q56" s="3">
        <v>1279.3000000000004</v>
      </c>
      <c r="R56" s="3">
        <v>1399</v>
      </c>
    </row>
    <row r="57" spans="8:38" x14ac:dyDescent="0.2">
      <c r="H57" s="42">
        <v>44162</v>
      </c>
      <c r="I57" s="4">
        <v>1.8999999999998636</v>
      </c>
      <c r="J57" s="65">
        <v>1</v>
      </c>
      <c r="P57" s="42">
        <v>44161</v>
      </c>
      <c r="Q57" s="3">
        <v>1279.3000000000004</v>
      </c>
      <c r="R57" s="3">
        <v>1399</v>
      </c>
    </row>
    <row r="58" spans="8:38" x14ac:dyDescent="0.2">
      <c r="H58" s="42">
        <v>44163</v>
      </c>
      <c r="I58" s="4">
        <v>0</v>
      </c>
      <c r="J58" s="65">
        <v>0</v>
      </c>
      <c r="P58" s="42">
        <v>44162</v>
      </c>
      <c r="Q58" s="3">
        <v>1287.9999999999998</v>
      </c>
      <c r="R58" s="3">
        <v>1449</v>
      </c>
    </row>
    <row r="59" spans="8:38" x14ac:dyDescent="0.2">
      <c r="H59" s="42">
        <v>44164</v>
      </c>
      <c r="I59" s="4">
        <v>0</v>
      </c>
      <c r="J59" s="65">
        <v>0</v>
      </c>
      <c r="P59" s="42">
        <v>44163</v>
      </c>
      <c r="Q59" s="3">
        <v>1287.9999999999998</v>
      </c>
      <c r="R59" s="3">
        <v>1449</v>
      </c>
    </row>
    <row r="60" spans="8:38" x14ac:dyDescent="0.2">
      <c r="H60" s="42">
        <v>44165</v>
      </c>
      <c r="I60" s="4">
        <v>0</v>
      </c>
      <c r="J60" s="65">
        <v>0</v>
      </c>
      <c r="P60" s="42">
        <v>44164</v>
      </c>
      <c r="Q60" s="3">
        <v>1287.9999999999998</v>
      </c>
      <c r="R60" s="3">
        <v>1449</v>
      </c>
    </row>
    <row r="61" spans="8:38" x14ac:dyDescent="0.2">
      <c r="H61" s="42">
        <v>44166</v>
      </c>
      <c r="I61" s="4">
        <v>2.433333333333394</v>
      </c>
      <c r="J61" s="65">
        <v>0.75</v>
      </c>
      <c r="P61" s="42">
        <v>44165</v>
      </c>
      <c r="Q61" s="3">
        <v>1246.3999999999999</v>
      </c>
      <c r="R61" s="3">
        <v>1499</v>
      </c>
    </row>
    <row r="62" spans="8:38" x14ac:dyDescent="0.2">
      <c r="H62" s="42">
        <v>44167</v>
      </c>
      <c r="I62" s="4">
        <v>0.10000000000013642</v>
      </c>
      <c r="J62" s="65">
        <v>1</v>
      </c>
      <c r="P62" s="42">
        <v>44166</v>
      </c>
      <c r="Q62" s="3">
        <v>1264.7000000000007</v>
      </c>
      <c r="R62" s="3">
        <v>1549</v>
      </c>
    </row>
    <row r="63" spans="8:38" x14ac:dyDescent="0.2">
      <c r="H63" s="42">
        <v>44168</v>
      </c>
      <c r="I63" s="4">
        <v>2.2222222222227275E-2</v>
      </c>
      <c r="J63" s="65">
        <v>0.25</v>
      </c>
      <c r="P63" s="42">
        <v>44167</v>
      </c>
      <c r="Q63" s="3">
        <v>1264.4000000000015</v>
      </c>
      <c r="R63" s="3">
        <v>1599</v>
      </c>
    </row>
    <row r="64" spans="8:38" x14ac:dyDescent="0.2">
      <c r="H64" s="42">
        <v>44169</v>
      </c>
      <c r="I64" s="4">
        <v>9.9999999999909051E-2</v>
      </c>
      <c r="J64" s="65">
        <v>1</v>
      </c>
      <c r="P64" s="42">
        <v>44168</v>
      </c>
      <c r="Q64" s="3">
        <v>1217.2000000000016</v>
      </c>
      <c r="R64" s="3">
        <v>1649</v>
      </c>
    </row>
    <row r="65" spans="8:18" x14ac:dyDescent="0.2">
      <c r="H65" s="42">
        <v>44170</v>
      </c>
      <c r="I65" s="4">
        <v>0</v>
      </c>
      <c r="J65" s="65">
        <v>0</v>
      </c>
      <c r="P65" s="42">
        <v>44169</v>
      </c>
      <c r="Q65" s="3">
        <v>1216.9000000000012</v>
      </c>
      <c r="R65" s="3">
        <v>1699</v>
      </c>
    </row>
    <row r="66" spans="8:18" x14ac:dyDescent="0.2">
      <c r="H66" s="42">
        <v>44171</v>
      </c>
      <c r="I66" s="4">
        <v>0</v>
      </c>
      <c r="J66" s="65">
        <v>0</v>
      </c>
      <c r="P66" s="42">
        <v>44170</v>
      </c>
      <c r="Q66" s="3">
        <v>1216.9000000000012</v>
      </c>
      <c r="R66" s="3">
        <v>1699</v>
      </c>
    </row>
    <row r="67" spans="8:18" x14ac:dyDescent="0.2">
      <c r="H67" s="42">
        <v>44172</v>
      </c>
      <c r="I67" s="4">
        <v>0</v>
      </c>
      <c r="J67" s="65">
        <v>0</v>
      </c>
      <c r="P67" s="42">
        <v>44171</v>
      </c>
      <c r="Q67" s="3">
        <v>1216.9000000000012</v>
      </c>
      <c r="R67" s="3">
        <v>1699</v>
      </c>
    </row>
    <row r="68" spans="8:18" x14ac:dyDescent="0.2">
      <c r="H68" s="42">
        <v>44173</v>
      </c>
      <c r="I68" s="4">
        <v>0</v>
      </c>
      <c r="J68" s="65">
        <v>0</v>
      </c>
      <c r="P68" s="42">
        <v>44172</v>
      </c>
      <c r="Q68" s="3">
        <v>1216.9000000000012</v>
      </c>
      <c r="R68" s="3">
        <v>1699</v>
      </c>
    </row>
    <row r="69" spans="8:18" x14ac:dyDescent="0.2">
      <c r="H69" s="42">
        <v>44174</v>
      </c>
      <c r="I69" s="4">
        <v>1.5806451612903982</v>
      </c>
      <c r="J69" s="65">
        <v>0.4</v>
      </c>
      <c r="P69" s="42">
        <v>44173</v>
      </c>
      <c r="Q69" s="3">
        <v>1216.9000000000012</v>
      </c>
      <c r="R69" s="3">
        <v>1699</v>
      </c>
    </row>
    <row r="70" spans="8:18" x14ac:dyDescent="0.2">
      <c r="H70" s="42">
        <v>44175</v>
      </c>
      <c r="I70" s="4">
        <v>2.5405405405405337</v>
      </c>
      <c r="J70" s="65">
        <v>0.66666666666666663</v>
      </c>
      <c r="P70" s="42">
        <v>44174</v>
      </c>
      <c r="Q70" s="3">
        <v>1230.900000000003</v>
      </c>
      <c r="R70" s="3">
        <v>1749</v>
      </c>
    </row>
    <row r="71" spans="8:18" x14ac:dyDescent="0.2">
      <c r="H71" s="42">
        <v>44176</v>
      </c>
      <c r="I71" s="4">
        <v>0.66129032258062559</v>
      </c>
      <c r="J71" s="65">
        <v>0.6</v>
      </c>
      <c r="P71" s="42">
        <v>44175</v>
      </c>
      <c r="Q71" s="3">
        <v>1257.0000000000032</v>
      </c>
      <c r="R71" s="3">
        <v>1799</v>
      </c>
    </row>
    <row r="72" spans="8:18" x14ac:dyDescent="0.2">
      <c r="H72" s="42">
        <v>44177</v>
      </c>
      <c r="I72" s="4">
        <v>0</v>
      </c>
      <c r="J72" s="65">
        <v>0</v>
      </c>
      <c r="P72" s="42">
        <v>44176</v>
      </c>
      <c r="Q72" s="3">
        <v>1242.5000000000025</v>
      </c>
      <c r="R72" s="3">
        <v>1849</v>
      </c>
    </row>
    <row r="73" spans="8:18" x14ac:dyDescent="0.2">
      <c r="H73" s="42">
        <v>44178</v>
      </c>
      <c r="I73" s="4">
        <v>0</v>
      </c>
      <c r="J73" s="65">
        <v>0</v>
      </c>
      <c r="P73" s="42">
        <v>44177</v>
      </c>
      <c r="Q73" s="3">
        <v>1242.5000000000025</v>
      </c>
      <c r="R73" s="3">
        <v>1849</v>
      </c>
    </row>
    <row r="74" spans="8:18" x14ac:dyDescent="0.2">
      <c r="H74" s="42">
        <v>44179</v>
      </c>
      <c r="I74" s="4">
        <v>0</v>
      </c>
      <c r="J74" s="65">
        <v>0</v>
      </c>
      <c r="P74" s="42">
        <v>44178</v>
      </c>
      <c r="Q74" s="3">
        <v>1242.5000000000025</v>
      </c>
      <c r="R74" s="3">
        <v>1849</v>
      </c>
    </row>
    <row r="75" spans="8:18" x14ac:dyDescent="0.2">
      <c r="H75" s="42">
        <v>44180</v>
      </c>
      <c r="I75" s="4">
        <v>0</v>
      </c>
      <c r="J75" s="65">
        <v>0</v>
      </c>
      <c r="P75" s="42">
        <v>44179</v>
      </c>
      <c r="Q75" s="3">
        <v>1242.5000000000025</v>
      </c>
      <c r="R75" s="3">
        <v>1849</v>
      </c>
    </row>
    <row r="76" spans="8:18" x14ac:dyDescent="0.2">
      <c r="H76" s="42">
        <v>44181</v>
      </c>
      <c r="I76" s="4">
        <v>0</v>
      </c>
      <c r="J76" s="65">
        <v>0</v>
      </c>
      <c r="P76" s="42">
        <v>44180</v>
      </c>
      <c r="Q76" s="3">
        <v>1242.5000000000025</v>
      </c>
      <c r="R76" s="3">
        <v>1849</v>
      </c>
    </row>
    <row r="77" spans="8:18" x14ac:dyDescent="0.2">
      <c r="H77" s="42">
        <v>44182</v>
      </c>
      <c r="I77" s="4">
        <v>0</v>
      </c>
      <c r="J77" s="65">
        <v>0</v>
      </c>
      <c r="P77" s="42">
        <v>44181</v>
      </c>
      <c r="Q77" s="3">
        <v>1242.5000000000025</v>
      </c>
      <c r="R77" s="3">
        <v>1849</v>
      </c>
    </row>
    <row r="78" spans="8:18" x14ac:dyDescent="0.2">
      <c r="H78" s="42">
        <v>44183</v>
      </c>
      <c r="I78" s="4">
        <v>0</v>
      </c>
      <c r="J78" s="65">
        <v>0</v>
      </c>
      <c r="P78" s="42">
        <v>44182</v>
      </c>
      <c r="Q78" s="3">
        <v>1242.5000000000025</v>
      </c>
      <c r="R78" s="3">
        <v>1849</v>
      </c>
    </row>
    <row r="79" spans="8:18" x14ac:dyDescent="0.2">
      <c r="H79" s="42">
        <v>44184</v>
      </c>
      <c r="I79" s="4">
        <v>0</v>
      </c>
      <c r="J79" s="65">
        <v>0</v>
      </c>
      <c r="P79" s="42">
        <v>44183</v>
      </c>
      <c r="Q79" s="3">
        <v>1242.5000000000025</v>
      </c>
      <c r="R79" s="3">
        <v>1849</v>
      </c>
    </row>
    <row r="80" spans="8:18" x14ac:dyDescent="0.2">
      <c r="H80" s="41" t="s">
        <v>21</v>
      </c>
      <c r="I80" s="1" t="s">
        <v>75</v>
      </c>
      <c r="J80"/>
      <c r="P80" s="42">
        <v>44184</v>
      </c>
      <c r="Q80" s="3">
        <v>1242.5000000000025</v>
      </c>
      <c r="R80" s="3">
        <v>1849</v>
      </c>
    </row>
    <row r="81" spans="8:18" x14ac:dyDescent="0.2">
      <c r="H81"/>
      <c r="I81"/>
      <c r="J81"/>
      <c r="P81" s="42">
        <v>44185</v>
      </c>
      <c r="Q81" s="3">
        <v>11578.500000000004</v>
      </c>
      <c r="R81" s="3">
        <v>1849</v>
      </c>
    </row>
    <row r="82" spans="8:18" x14ac:dyDescent="0.2">
      <c r="H82" s="41" t="s">
        <v>31</v>
      </c>
      <c r="I82" s="1" t="s">
        <v>36</v>
      </c>
      <c r="J82" s="1" t="s">
        <v>37</v>
      </c>
      <c r="P82" s="42">
        <v>44186</v>
      </c>
      <c r="Q82" s="3">
        <v>11578.500000000004</v>
      </c>
      <c r="R82" s="3">
        <v>1849</v>
      </c>
    </row>
    <row r="83" spans="8:18" x14ac:dyDescent="0.2">
      <c r="H83" s="47">
        <v>44155</v>
      </c>
      <c r="I83" s="43">
        <v>2.8999999999998636</v>
      </c>
      <c r="J83" s="43">
        <v>0</v>
      </c>
      <c r="P83" s="42" t="s">
        <v>32</v>
      </c>
      <c r="Q83" s="3">
        <v>60424.000000000044</v>
      </c>
      <c r="R83" s="3">
        <v>52218</v>
      </c>
    </row>
    <row r="84" spans="8:18" x14ac:dyDescent="0.2">
      <c r="H84" s="47">
        <v>44156</v>
      </c>
      <c r="I84" s="43">
        <v>0</v>
      </c>
      <c r="J84" s="43">
        <v>0</v>
      </c>
      <c r="P84"/>
      <c r="Q84"/>
      <c r="R84"/>
    </row>
    <row r="85" spans="8:18" x14ac:dyDescent="0.2">
      <c r="H85" s="47">
        <v>44157</v>
      </c>
      <c r="I85" s="43">
        <v>0</v>
      </c>
      <c r="J85" s="43">
        <v>0</v>
      </c>
      <c r="P85"/>
      <c r="Q85"/>
      <c r="R85"/>
    </row>
    <row r="86" spans="8:18" x14ac:dyDescent="0.2">
      <c r="H86" s="47">
        <v>44158</v>
      </c>
      <c r="I86" s="43">
        <v>6</v>
      </c>
      <c r="J86" s="43">
        <v>0</v>
      </c>
      <c r="P86"/>
      <c r="Q86"/>
      <c r="R86"/>
    </row>
    <row r="87" spans="8:18" x14ac:dyDescent="0.2">
      <c r="H87" s="47">
        <v>44159</v>
      </c>
      <c r="I87" s="43">
        <v>9</v>
      </c>
      <c r="J87" s="43">
        <v>0</v>
      </c>
      <c r="P87"/>
      <c r="Q87"/>
      <c r="R87"/>
    </row>
    <row r="88" spans="8:18" x14ac:dyDescent="0.2">
      <c r="H88" s="47">
        <v>44160</v>
      </c>
      <c r="I88" s="43">
        <v>1.7000000000000455</v>
      </c>
      <c r="J88" s="43">
        <v>0</v>
      </c>
      <c r="P88"/>
      <c r="Q88"/>
      <c r="R88"/>
    </row>
    <row r="89" spans="8:18" x14ac:dyDescent="0.2">
      <c r="H89" s="47">
        <v>44161</v>
      </c>
      <c r="I89" s="43">
        <v>0</v>
      </c>
      <c r="J89" s="43">
        <v>0</v>
      </c>
    </row>
    <row r="90" spans="8:18" x14ac:dyDescent="0.2">
      <c r="H90" s="47">
        <v>44162</v>
      </c>
      <c r="I90" s="43">
        <v>1.8999999999998636</v>
      </c>
      <c r="J90" s="43">
        <v>0</v>
      </c>
    </row>
    <row r="91" spans="8:18" x14ac:dyDescent="0.2">
      <c r="H91" s="47">
        <v>44163</v>
      </c>
      <c r="I91" s="43">
        <v>0</v>
      </c>
      <c r="J91" s="43">
        <v>0</v>
      </c>
    </row>
    <row r="92" spans="8:18" x14ac:dyDescent="0.2">
      <c r="H92" s="47">
        <v>44164</v>
      </c>
      <c r="I92" s="43">
        <v>0</v>
      </c>
      <c r="J92" s="43">
        <v>0</v>
      </c>
    </row>
    <row r="93" spans="8:18" x14ac:dyDescent="0.2">
      <c r="H93" s="47">
        <v>44165</v>
      </c>
      <c r="I93" s="43">
        <v>0</v>
      </c>
      <c r="J93" s="43">
        <v>-8</v>
      </c>
    </row>
    <row r="94" spans="8:18" x14ac:dyDescent="0.2">
      <c r="H94" s="47">
        <v>44166</v>
      </c>
      <c r="I94" s="43">
        <v>7.3000000000001819</v>
      </c>
      <c r="J94" s="43">
        <v>-3</v>
      </c>
    </row>
    <row r="95" spans="8:18" x14ac:dyDescent="0.2">
      <c r="H95" s="47">
        <v>44167</v>
      </c>
      <c r="I95" s="43">
        <v>0.10000000000013642</v>
      </c>
      <c r="J95" s="43">
        <v>0</v>
      </c>
    </row>
    <row r="96" spans="8:18" x14ac:dyDescent="0.2">
      <c r="H96" s="47">
        <v>44168</v>
      </c>
      <c r="I96" s="43">
        <v>0.20000000000004547</v>
      </c>
      <c r="J96" s="43">
        <v>-9</v>
      </c>
    </row>
    <row r="97" spans="8:10" x14ac:dyDescent="0.2">
      <c r="H97" s="47">
        <v>44169</v>
      </c>
      <c r="I97" s="43">
        <v>9.9999999999909051E-2</v>
      </c>
      <c r="J97" s="43">
        <v>0</v>
      </c>
    </row>
    <row r="98" spans="8:10" x14ac:dyDescent="0.2">
      <c r="H98" s="47">
        <v>44170</v>
      </c>
      <c r="I98" s="43">
        <v>0</v>
      </c>
      <c r="J98" s="43">
        <v>0</v>
      </c>
    </row>
    <row r="99" spans="8:10" x14ac:dyDescent="0.2">
      <c r="H99" s="47">
        <v>44171</v>
      </c>
      <c r="I99" s="43">
        <v>0</v>
      </c>
      <c r="J99" s="43">
        <v>0</v>
      </c>
    </row>
    <row r="100" spans="8:10" x14ac:dyDescent="0.2">
      <c r="H100" s="47">
        <v>44172</v>
      </c>
      <c r="I100" s="43">
        <v>0</v>
      </c>
      <c r="J100" s="43">
        <v>0</v>
      </c>
    </row>
    <row r="101" spans="8:10" x14ac:dyDescent="0.2">
      <c r="H101" s="47">
        <v>44173</v>
      </c>
      <c r="I101" s="43">
        <v>0</v>
      </c>
      <c r="J101" s="43">
        <v>0</v>
      </c>
    </row>
    <row r="102" spans="8:10" x14ac:dyDescent="0.2">
      <c r="H102" s="47">
        <v>44174</v>
      </c>
      <c r="I102" s="43">
        <v>9.8000000000001819</v>
      </c>
      <c r="J102" s="43">
        <v>-6.1999999999998181</v>
      </c>
    </row>
    <row r="103" spans="8:10" x14ac:dyDescent="0.2">
      <c r="H103" s="47">
        <v>44175</v>
      </c>
      <c r="I103" s="43">
        <v>9.4000000000000909</v>
      </c>
      <c r="J103" s="43">
        <v>-3.7000000000000455</v>
      </c>
    </row>
    <row r="104" spans="8:10" x14ac:dyDescent="0.2">
      <c r="H104" s="47">
        <v>44176</v>
      </c>
      <c r="I104" s="43">
        <v>4.0999999999999091</v>
      </c>
      <c r="J104" s="43">
        <v>-6.2000000000000455</v>
      </c>
    </row>
    <row r="105" spans="8:10" x14ac:dyDescent="0.2">
      <c r="H105" s="47">
        <v>44177</v>
      </c>
      <c r="I105" s="43">
        <v>0</v>
      </c>
      <c r="J105" s="43">
        <v>0</v>
      </c>
    </row>
    <row r="106" spans="8:10" x14ac:dyDescent="0.2">
      <c r="H106" s="47">
        <v>44178</v>
      </c>
      <c r="I106" s="43">
        <v>0</v>
      </c>
      <c r="J106" s="43">
        <v>0</v>
      </c>
    </row>
    <row r="107" spans="8:10" x14ac:dyDescent="0.2">
      <c r="H107" s="47">
        <v>44179</v>
      </c>
      <c r="I107" s="43">
        <v>0</v>
      </c>
      <c r="J107" s="43">
        <v>0</v>
      </c>
    </row>
    <row r="108" spans="8:10" x14ac:dyDescent="0.2">
      <c r="H108" s="47">
        <v>44180</v>
      </c>
      <c r="I108" s="43">
        <v>0</v>
      </c>
      <c r="J108" s="43">
        <v>0</v>
      </c>
    </row>
    <row r="109" spans="8:10" x14ac:dyDescent="0.2">
      <c r="H109" s="47">
        <v>44181</v>
      </c>
      <c r="I109" s="43">
        <v>0</v>
      </c>
      <c r="J109" s="43">
        <v>0</v>
      </c>
    </row>
    <row r="110" spans="8:10" x14ac:dyDescent="0.2">
      <c r="H110" s="47">
        <v>44182</v>
      </c>
      <c r="I110" s="43">
        <v>0</v>
      </c>
      <c r="J110" s="43">
        <v>0</v>
      </c>
    </row>
    <row r="111" spans="8:10" x14ac:dyDescent="0.2">
      <c r="H111" s="47">
        <v>44183</v>
      </c>
      <c r="I111" s="43">
        <v>0</v>
      </c>
      <c r="J111" s="43">
        <v>0</v>
      </c>
    </row>
    <row r="112" spans="8:10" x14ac:dyDescent="0.2">
      <c r="H112" s="47">
        <v>44184</v>
      </c>
      <c r="I112" s="43">
        <v>0</v>
      </c>
      <c r="J112" s="43">
        <v>0</v>
      </c>
    </row>
    <row r="113" spans="8:47" x14ac:dyDescent="0.2">
      <c r="H113" s="47">
        <v>44185</v>
      </c>
      <c r="I113" s="43">
        <v>0</v>
      </c>
      <c r="J113" s="43">
        <v>0</v>
      </c>
    </row>
    <row r="114" spans="8:47" x14ac:dyDescent="0.2">
      <c r="H114" s="47">
        <v>44186</v>
      </c>
      <c r="I114" s="43">
        <v>0</v>
      </c>
      <c r="J114" s="43">
        <v>0</v>
      </c>
    </row>
    <row r="115" spans="8:47" x14ac:dyDescent="0.2">
      <c r="H115" s="47" t="s">
        <v>32</v>
      </c>
      <c r="I115" s="43">
        <v>52.500000000000227</v>
      </c>
      <c r="J115" s="43">
        <v>-36.099999999999909</v>
      </c>
    </row>
    <row r="116" spans="8:47" x14ac:dyDescent="0.2">
      <c r="H116" s="1"/>
      <c r="I116" s="1"/>
      <c r="J116" s="1"/>
    </row>
    <row r="117" spans="8:47" x14ac:dyDescent="0.2">
      <c r="H117" s="1"/>
      <c r="I117" s="1"/>
      <c r="J117" s="1"/>
    </row>
    <row r="118" spans="8:47" x14ac:dyDescent="0.2">
      <c r="H118" s="1"/>
      <c r="I118" s="1"/>
      <c r="J118" s="1"/>
    </row>
    <row r="119" spans="8:47" x14ac:dyDescent="0.2">
      <c r="H119" s="1"/>
      <c r="I119" s="1"/>
      <c r="J119" s="1"/>
    </row>
    <row r="120" spans="8:47" x14ac:dyDescent="0.2">
      <c r="H120"/>
      <c r="I120"/>
      <c r="J120"/>
    </row>
    <row r="121" spans="8:47" x14ac:dyDescent="0.2">
      <c r="H121"/>
      <c r="I121"/>
      <c r="J121"/>
      <c r="P121" s="41" t="s">
        <v>21</v>
      </c>
      <c r="Q121" s="1" t="s">
        <v>75</v>
      </c>
    </row>
    <row r="122" spans="8:47" x14ac:dyDescent="0.2">
      <c r="H122"/>
    </row>
    <row r="123" spans="8:47" x14ac:dyDescent="0.2">
      <c r="H123"/>
      <c r="P123" s="41" t="s">
        <v>43</v>
      </c>
      <c r="Q123" s="41" t="s">
        <v>38</v>
      </c>
      <c r="R123"/>
      <c r="S123"/>
      <c r="T123"/>
      <c r="U123"/>
      <c r="V123"/>
      <c r="W123"/>
      <c r="X123"/>
      <c r="Y123"/>
      <c r="Z123"/>
      <c r="AA123"/>
      <c r="AB123"/>
      <c r="AC123"/>
      <c r="AD123"/>
      <c r="AE123"/>
      <c r="AF123"/>
      <c r="AG123"/>
      <c r="AH123"/>
      <c r="AI123"/>
      <c r="AJ123"/>
      <c r="AK123"/>
      <c r="AL123"/>
      <c r="AM123"/>
      <c r="AN123"/>
      <c r="AO123"/>
      <c r="AP123"/>
      <c r="AQ123"/>
      <c r="AR123"/>
      <c r="AS123"/>
      <c r="AT123"/>
      <c r="AU123"/>
    </row>
    <row r="124" spans="8:47" x14ac:dyDescent="0.2">
      <c r="H124"/>
      <c r="P124" s="41" t="s">
        <v>31</v>
      </c>
      <c r="Q124" s="1">
        <v>1</v>
      </c>
      <c r="R124" s="1">
        <v>2</v>
      </c>
      <c r="S124" s="1">
        <v>3</v>
      </c>
      <c r="T124" s="1">
        <v>4</v>
      </c>
      <c r="U124" s="1">
        <v>5</v>
      </c>
      <c r="V124" s="1" t="s">
        <v>80</v>
      </c>
      <c r="W124" s="1" t="s">
        <v>32</v>
      </c>
      <c r="X124"/>
      <c r="Y124"/>
      <c r="Z124"/>
      <c r="AA124"/>
      <c r="AB124"/>
      <c r="AC124"/>
      <c r="AD124"/>
      <c r="AE124"/>
      <c r="AF124"/>
      <c r="AG124"/>
      <c r="AH124"/>
      <c r="AI124"/>
      <c r="AJ124"/>
      <c r="AK124"/>
      <c r="AL124"/>
      <c r="AM124"/>
      <c r="AN124"/>
      <c r="AO124"/>
      <c r="AP124"/>
      <c r="AQ124"/>
      <c r="AR124"/>
      <c r="AS124"/>
      <c r="AT124"/>
      <c r="AU124"/>
    </row>
    <row r="125" spans="8:47" x14ac:dyDescent="0.2">
      <c r="H125"/>
      <c r="P125" s="47">
        <v>44155</v>
      </c>
      <c r="Q125" s="49">
        <v>1.7708333333333332E-3</v>
      </c>
      <c r="R125" s="49">
        <v>6.4583333333333333E-3</v>
      </c>
      <c r="S125" s="49">
        <v>0</v>
      </c>
      <c r="T125" s="49">
        <v>0</v>
      </c>
      <c r="U125" s="49">
        <v>0</v>
      </c>
      <c r="V125" s="49"/>
      <c r="W125" s="49">
        <v>8.2291666666666659E-3</v>
      </c>
      <c r="X125"/>
      <c r="Y125"/>
      <c r="Z125"/>
      <c r="AA125"/>
      <c r="AB125"/>
      <c r="AC125"/>
      <c r="AD125"/>
      <c r="AE125"/>
      <c r="AF125"/>
      <c r="AG125"/>
      <c r="AH125"/>
      <c r="AI125"/>
      <c r="AJ125"/>
      <c r="AK125"/>
      <c r="AL125"/>
      <c r="AM125"/>
      <c r="AN125"/>
      <c r="AO125"/>
      <c r="AP125"/>
      <c r="AQ125"/>
      <c r="AR125"/>
      <c r="AS125"/>
      <c r="AT125"/>
      <c r="AU125"/>
    </row>
    <row r="126" spans="8:47" x14ac:dyDescent="0.2">
      <c r="H126"/>
      <c r="P126" s="47">
        <v>44156</v>
      </c>
      <c r="Q126" s="49">
        <v>0</v>
      </c>
      <c r="R126" s="49">
        <v>0</v>
      </c>
      <c r="S126" s="49">
        <v>0</v>
      </c>
      <c r="T126" s="49">
        <v>0</v>
      </c>
      <c r="U126" s="49">
        <v>0</v>
      </c>
      <c r="V126" s="49"/>
      <c r="W126" s="49">
        <v>0</v>
      </c>
      <c r="X126"/>
      <c r="Y126"/>
      <c r="Z126"/>
      <c r="AA126"/>
      <c r="AB126"/>
      <c r="AC126"/>
      <c r="AD126"/>
      <c r="AE126"/>
      <c r="AF126"/>
      <c r="AG126"/>
      <c r="AH126"/>
      <c r="AI126"/>
      <c r="AJ126"/>
      <c r="AK126"/>
      <c r="AL126"/>
      <c r="AM126"/>
      <c r="AN126"/>
      <c r="AO126"/>
      <c r="AP126"/>
      <c r="AQ126"/>
      <c r="AR126"/>
      <c r="AS126"/>
      <c r="AT126"/>
      <c r="AU126"/>
    </row>
    <row r="127" spans="8:47" x14ac:dyDescent="0.2">
      <c r="H127" s="41" t="s">
        <v>20</v>
      </c>
      <c r="I127" s="1" t="s">
        <v>75</v>
      </c>
      <c r="P127" s="47">
        <v>44157</v>
      </c>
      <c r="Q127" s="49">
        <v>0</v>
      </c>
      <c r="R127" s="49">
        <v>0</v>
      </c>
      <c r="S127" s="49">
        <v>0</v>
      </c>
      <c r="T127" s="49">
        <v>0</v>
      </c>
      <c r="U127" s="49">
        <v>0</v>
      </c>
      <c r="V127" s="49"/>
      <c r="W127" s="49">
        <v>0</v>
      </c>
      <c r="X127"/>
      <c r="Y127"/>
      <c r="Z127"/>
      <c r="AA127"/>
      <c r="AB127"/>
      <c r="AC127"/>
      <c r="AD127"/>
      <c r="AE127"/>
      <c r="AF127"/>
      <c r="AG127"/>
      <c r="AH127"/>
      <c r="AI127"/>
      <c r="AJ127"/>
      <c r="AK127"/>
      <c r="AL127"/>
      <c r="AM127"/>
      <c r="AN127"/>
      <c r="AO127"/>
      <c r="AP127"/>
      <c r="AQ127"/>
      <c r="AR127"/>
      <c r="AS127"/>
      <c r="AT127"/>
      <c r="AU127"/>
    </row>
    <row r="128" spans="8:47" x14ac:dyDescent="0.2">
      <c r="H128" s="41" t="s">
        <v>21</v>
      </c>
      <c r="I128" s="1" t="s">
        <v>75</v>
      </c>
      <c r="P128" s="47">
        <v>44158</v>
      </c>
      <c r="Q128" s="49">
        <v>8.5879629629629622E-3</v>
      </c>
      <c r="R128" s="49">
        <v>0</v>
      </c>
      <c r="S128" s="49">
        <v>0</v>
      </c>
      <c r="T128" s="49">
        <v>0</v>
      </c>
      <c r="U128" s="49">
        <v>0</v>
      </c>
      <c r="V128" s="49"/>
      <c r="W128" s="49">
        <v>8.5879629629629622E-3</v>
      </c>
      <c r="X128"/>
      <c r="Y128"/>
      <c r="Z128"/>
      <c r="AA128"/>
      <c r="AB128"/>
      <c r="AC128"/>
      <c r="AD128"/>
      <c r="AE128"/>
      <c r="AF128"/>
      <c r="AG128"/>
      <c r="AH128"/>
      <c r="AI128"/>
      <c r="AJ128"/>
      <c r="AK128"/>
      <c r="AL128"/>
      <c r="AM128"/>
      <c r="AN128"/>
      <c r="AO128"/>
      <c r="AP128"/>
      <c r="AQ128"/>
      <c r="AR128"/>
      <c r="AS128"/>
      <c r="AT128"/>
      <c r="AU128"/>
    </row>
    <row r="129" spans="8:47" x14ac:dyDescent="0.2">
      <c r="P129" s="47">
        <v>44159</v>
      </c>
      <c r="Q129" s="49">
        <v>0</v>
      </c>
      <c r="R129" s="49">
        <v>0</v>
      </c>
      <c r="S129" s="49">
        <v>0</v>
      </c>
      <c r="T129" s="49">
        <v>0</v>
      </c>
      <c r="U129" s="49">
        <v>0</v>
      </c>
      <c r="V129" s="49"/>
      <c r="W129" s="49">
        <v>0</v>
      </c>
      <c r="X129"/>
      <c r="Y129"/>
      <c r="Z129"/>
      <c r="AA129"/>
      <c r="AB129"/>
      <c r="AC129"/>
      <c r="AD129"/>
      <c r="AE129"/>
      <c r="AF129"/>
      <c r="AG129"/>
      <c r="AH129"/>
      <c r="AI129"/>
      <c r="AJ129"/>
      <c r="AK129"/>
      <c r="AL129"/>
      <c r="AM129"/>
      <c r="AN129"/>
      <c r="AO129"/>
      <c r="AP129"/>
      <c r="AQ129"/>
      <c r="AR129"/>
      <c r="AS129"/>
      <c r="AT129"/>
      <c r="AU129"/>
    </row>
    <row r="130" spans="8:47" x14ac:dyDescent="0.2">
      <c r="H130" s="41" t="s">
        <v>31</v>
      </c>
      <c r="I130" t="s">
        <v>44</v>
      </c>
      <c r="J130"/>
      <c r="P130" s="47">
        <v>44160</v>
      </c>
      <c r="Q130" s="49">
        <v>2.2361111111111113E-2</v>
      </c>
      <c r="R130" s="49">
        <v>0</v>
      </c>
      <c r="S130" s="49">
        <v>0</v>
      </c>
      <c r="T130" s="49">
        <v>0</v>
      </c>
      <c r="U130" s="49">
        <v>0</v>
      </c>
      <c r="V130" s="49"/>
      <c r="W130" s="49">
        <v>2.2361111111111113E-2</v>
      </c>
      <c r="X130"/>
      <c r="Y130"/>
      <c r="Z130"/>
      <c r="AA130"/>
      <c r="AB130"/>
      <c r="AC130"/>
      <c r="AD130"/>
      <c r="AE130"/>
      <c r="AF130"/>
      <c r="AG130"/>
      <c r="AH130"/>
      <c r="AI130"/>
      <c r="AJ130"/>
      <c r="AK130"/>
      <c r="AL130"/>
      <c r="AM130"/>
      <c r="AN130"/>
      <c r="AO130"/>
      <c r="AP130"/>
      <c r="AQ130"/>
      <c r="AR130"/>
      <c r="AS130"/>
      <c r="AT130"/>
      <c r="AU130"/>
    </row>
    <row r="131" spans="8:47" x14ac:dyDescent="0.2">
      <c r="H131" s="5" t="s">
        <v>32</v>
      </c>
      <c r="I131" s="43"/>
      <c r="J131"/>
      <c r="P131" s="47">
        <v>44161</v>
      </c>
      <c r="Q131" s="49">
        <v>0</v>
      </c>
      <c r="R131" s="49">
        <v>0</v>
      </c>
      <c r="S131" s="49">
        <v>0</v>
      </c>
      <c r="T131" s="49">
        <v>0</v>
      </c>
      <c r="U131" s="49">
        <v>0</v>
      </c>
      <c r="V131" s="49"/>
      <c r="W131" s="49">
        <v>0</v>
      </c>
      <c r="X131"/>
      <c r="Y131"/>
      <c r="Z131"/>
      <c r="AA131"/>
      <c r="AB131"/>
      <c r="AC131"/>
      <c r="AD131"/>
      <c r="AE131"/>
      <c r="AF131"/>
      <c r="AG131"/>
      <c r="AH131"/>
      <c r="AI131"/>
      <c r="AJ131"/>
      <c r="AK131"/>
      <c r="AL131"/>
      <c r="AM131"/>
      <c r="AN131"/>
      <c r="AO131"/>
      <c r="AP131"/>
      <c r="AQ131"/>
      <c r="AR131"/>
      <c r="AS131"/>
      <c r="AT131"/>
      <c r="AU131"/>
    </row>
    <row r="132" spans="8:47" x14ac:dyDescent="0.2">
      <c r="H132"/>
      <c r="I132"/>
      <c r="J132"/>
      <c r="P132" s="47">
        <v>44162</v>
      </c>
      <c r="Q132" s="49">
        <v>1.6770833333333332E-2</v>
      </c>
      <c r="R132" s="49">
        <v>0</v>
      </c>
      <c r="S132" s="49">
        <v>0</v>
      </c>
      <c r="T132" s="49">
        <v>0</v>
      </c>
      <c r="U132" s="49">
        <v>0</v>
      </c>
      <c r="V132" s="49"/>
      <c r="W132" s="49">
        <v>1.6770833333333332E-2</v>
      </c>
      <c r="X132"/>
      <c r="Y132"/>
      <c r="Z132"/>
      <c r="AA132"/>
      <c r="AB132"/>
      <c r="AC132"/>
      <c r="AD132"/>
      <c r="AE132"/>
      <c r="AF132"/>
      <c r="AG132"/>
      <c r="AH132"/>
      <c r="AI132"/>
      <c r="AJ132"/>
      <c r="AK132"/>
      <c r="AL132"/>
      <c r="AM132"/>
      <c r="AN132"/>
      <c r="AO132"/>
      <c r="AP132"/>
      <c r="AQ132"/>
      <c r="AR132"/>
      <c r="AS132"/>
      <c r="AT132"/>
      <c r="AU132"/>
    </row>
    <row r="133" spans="8:47" x14ac:dyDescent="0.2">
      <c r="H133"/>
      <c r="I133"/>
      <c r="J133"/>
      <c r="P133" s="47">
        <v>44163</v>
      </c>
      <c r="Q133" s="49">
        <v>0</v>
      </c>
      <c r="R133" s="49">
        <v>0</v>
      </c>
      <c r="S133" s="49">
        <v>0</v>
      </c>
      <c r="T133" s="49">
        <v>0</v>
      </c>
      <c r="U133" s="49">
        <v>0</v>
      </c>
      <c r="V133" s="49"/>
      <c r="W133" s="49">
        <v>0</v>
      </c>
      <c r="X133"/>
      <c r="Y133"/>
      <c r="Z133"/>
      <c r="AA133"/>
      <c r="AB133"/>
      <c r="AC133"/>
      <c r="AD133"/>
      <c r="AE133"/>
      <c r="AF133"/>
      <c r="AG133"/>
      <c r="AH133"/>
      <c r="AI133"/>
      <c r="AJ133"/>
      <c r="AK133"/>
      <c r="AL133"/>
    </row>
    <row r="134" spans="8:47" x14ac:dyDescent="0.2">
      <c r="H134"/>
      <c r="I134"/>
      <c r="J134"/>
      <c r="P134" s="47">
        <v>44164</v>
      </c>
      <c r="Q134" s="49">
        <v>0</v>
      </c>
      <c r="R134" s="49">
        <v>0</v>
      </c>
      <c r="S134" s="49">
        <v>0</v>
      </c>
      <c r="T134" s="49">
        <v>0</v>
      </c>
      <c r="U134" s="49">
        <v>0</v>
      </c>
      <c r="V134" s="49"/>
      <c r="W134" s="49">
        <v>0</v>
      </c>
      <c r="X134"/>
      <c r="Y134"/>
      <c r="Z134"/>
      <c r="AA134"/>
      <c r="AB134"/>
      <c r="AC134"/>
      <c r="AD134"/>
      <c r="AE134"/>
      <c r="AF134"/>
      <c r="AG134"/>
      <c r="AH134"/>
      <c r="AI134"/>
      <c r="AJ134"/>
      <c r="AK134"/>
      <c r="AL134"/>
    </row>
    <row r="135" spans="8:47" x14ac:dyDescent="0.2">
      <c r="H135"/>
      <c r="I135"/>
      <c r="J135"/>
      <c r="P135" s="47">
        <v>44165</v>
      </c>
      <c r="Q135" s="49">
        <v>4.6643518518518518E-3</v>
      </c>
      <c r="R135" s="49">
        <v>1.2256944444444444E-2</v>
      </c>
      <c r="S135" s="49">
        <v>0</v>
      </c>
      <c r="T135" s="49">
        <v>0</v>
      </c>
      <c r="U135" s="49">
        <v>0</v>
      </c>
      <c r="V135" s="49"/>
      <c r="W135" s="49">
        <v>1.6921296296296295E-2</v>
      </c>
      <c r="X135"/>
      <c r="Y135"/>
      <c r="Z135"/>
      <c r="AA135"/>
      <c r="AB135"/>
      <c r="AC135"/>
      <c r="AD135"/>
      <c r="AE135"/>
      <c r="AF135"/>
      <c r="AG135"/>
      <c r="AH135"/>
      <c r="AI135"/>
      <c r="AJ135"/>
      <c r="AK135"/>
      <c r="AL135"/>
    </row>
    <row r="136" spans="8:47" x14ac:dyDescent="0.2">
      <c r="H136" s="5"/>
      <c r="I136" s="43"/>
      <c r="J136" s="1"/>
      <c r="P136" s="47">
        <v>44166</v>
      </c>
      <c r="Q136" s="49">
        <v>6.9444444444444447E-4</v>
      </c>
      <c r="R136" s="49">
        <v>1.423611111111111E-3</v>
      </c>
      <c r="S136" s="49">
        <v>3.7500000000000003E-3</v>
      </c>
      <c r="T136" s="49">
        <v>1.9560185185185184E-3</v>
      </c>
      <c r="U136" s="49">
        <v>0</v>
      </c>
      <c r="V136" s="49"/>
      <c r="W136" s="49">
        <v>7.8240740740740736E-3</v>
      </c>
      <c r="X136" s="1"/>
      <c r="Y136" s="1"/>
      <c r="Z136" s="1"/>
      <c r="AA136" s="1"/>
      <c r="AB136" s="1"/>
      <c r="AC136" s="1"/>
      <c r="AD136" s="1"/>
      <c r="AE136" s="1"/>
      <c r="AF136" s="1"/>
      <c r="AG136" s="1"/>
      <c r="AH136" s="1"/>
      <c r="AI136" s="1"/>
      <c r="AJ136" s="1"/>
      <c r="AK136" s="1"/>
      <c r="AL136" s="1"/>
    </row>
    <row r="137" spans="8:47" ht="17.25" customHeight="1" x14ac:dyDescent="0.2">
      <c r="H137" s="5"/>
      <c r="I137" s="43"/>
      <c r="J137" s="1"/>
      <c r="P137" s="47">
        <v>44167</v>
      </c>
      <c r="Q137" s="49">
        <v>2.9398148148148148E-3</v>
      </c>
      <c r="R137" s="49">
        <v>0</v>
      </c>
      <c r="S137" s="49">
        <v>0</v>
      </c>
      <c r="T137" s="49">
        <v>0</v>
      </c>
      <c r="U137" s="49">
        <v>0</v>
      </c>
      <c r="V137" s="49"/>
      <c r="W137" s="49">
        <v>2.9398148148148148E-3</v>
      </c>
      <c r="X137" s="1"/>
      <c r="Y137" s="1"/>
      <c r="Z137" s="1"/>
      <c r="AA137" s="1"/>
      <c r="AB137" s="1"/>
      <c r="AC137" s="1"/>
      <c r="AD137" s="1"/>
      <c r="AE137" s="1"/>
      <c r="AF137" s="1"/>
      <c r="AG137" s="1"/>
      <c r="AH137" s="1"/>
      <c r="AI137" s="1"/>
      <c r="AJ137" s="1"/>
      <c r="AK137" s="1"/>
      <c r="AL137" s="1"/>
    </row>
    <row r="138" spans="8:47" ht="17.25" customHeight="1" x14ac:dyDescent="0.2">
      <c r="H138" s="5"/>
      <c r="I138" s="43"/>
      <c r="J138" s="1"/>
      <c r="P138" s="47">
        <v>44168</v>
      </c>
      <c r="Q138" s="49">
        <v>1.4814814814814814E-3</v>
      </c>
      <c r="R138" s="49">
        <v>1.7222222222222222E-2</v>
      </c>
      <c r="S138" s="49">
        <v>5.7291666666666671E-3</v>
      </c>
      <c r="T138" s="49">
        <v>1.4282407407407409E-2</v>
      </c>
      <c r="U138" s="49">
        <v>0</v>
      </c>
      <c r="V138" s="49"/>
      <c r="W138" s="49">
        <v>3.8715277777777779E-2</v>
      </c>
      <c r="X138" s="1"/>
      <c r="Y138" s="1"/>
      <c r="Z138" s="1"/>
      <c r="AA138" s="1"/>
      <c r="AB138" s="1"/>
      <c r="AC138" s="1"/>
      <c r="AD138" s="1"/>
      <c r="AE138" s="1"/>
      <c r="AF138" s="1"/>
      <c r="AG138" s="1"/>
      <c r="AH138" s="1"/>
      <c r="AI138" s="1"/>
      <c r="AJ138" s="1"/>
      <c r="AK138" s="1"/>
      <c r="AL138" s="1"/>
    </row>
    <row r="139" spans="8:47" ht="17.25" customHeight="1" x14ac:dyDescent="0.2">
      <c r="H139" s="5"/>
      <c r="I139" s="43"/>
      <c r="J139" s="1"/>
      <c r="P139" s="47">
        <v>44169</v>
      </c>
      <c r="Q139" s="49">
        <v>9.6990740740740735E-3</v>
      </c>
      <c r="R139" s="49">
        <v>0</v>
      </c>
      <c r="S139" s="49">
        <v>0</v>
      </c>
      <c r="T139" s="49">
        <v>0</v>
      </c>
      <c r="U139" s="49">
        <v>0</v>
      </c>
      <c r="V139" s="49"/>
      <c r="W139" s="49">
        <v>9.6990740740740735E-3</v>
      </c>
      <c r="X139" s="1"/>
      <c r="Y139" s="1"/>
      <c r="Z139" s="1"/>
      <c r="AA139" s="1"/>
      <c r="AB139" s="1"/>
      <c r="AC139" s="1"/>
      <c r="AD139" s="1"/>
      <c r="AE139" s="1"/>
      <c r="AF139" s="1"/>
      <c r="AG139" s="1"/>
      <c r="AH139" s="1"/>
      <c r="AI139" s="1"/>
      <c r="AJ139" s="1"/>
      <c r="AK139" s="1"/>
      <c r="AL139" s="1"/>
    </row>
    <row r="140" spans="8:47" ht="17.25" customHeight="1" x14ac:dyDescent="0.2">
      <c r="H140" s="5"/>
      <c r="I140" s="43"/>
      <c r="J140" s="1"/>
      <c r="P140" s="47">
        <v>44170</v>
      </c>
      <c r="Q140" s="49">
        <v>0</v>
      </c>
      <c r="R140" s="49">
        <v>0</v>
      </c>
      <c r="S140" s="49">
        <v>0</v>
      </c>
      <c r="T140" s="49">
        <v>0</v>
      </c>
      <c r="U140" s="49">
        <v>0</v>
      </c>
      <c r="V140" s="49"/>
      <c r="W140" s="49">
        <v>0</v>
      </c>
      <c r="X140" s="1"/>
      <c r="Y140" s="1"/>
      <c r="Z140" s="1"/>
      <c r="AA140" s="1"/>
      <c r="AB140" s="1"/>
      <c r="AC140" s="1"/>
      <c r="AD140" s="1"/>
      <c r="AE140" s="1"/>
      <c r="AF140" s="1"/>
      <c r="AG140" s="1"/>
      <c r="AH140" s="1"/>
      <c r="AI140" s="1"/>
      <c r="AJ140" s="1"/>
      <c r="AK140" s="1"/>
      <c r="AL140" s="1"/>
    </row>
    <row r="141" spans="8:47" ht="17.25" customHeight="1" x14ac:dyDescent="0.2">
      <c r="H141" s="5"/>
      <c r="I141" s="43"/>
      <c r="J141" s="1"/>
      <c r="P141" s="47">
        <v>44171</v>
      </c>
      <c r="Q141" s="49">
        <v>0</v>
      </c>
      <c r="R141" s="49">
        <v>0</v>
      </c>
      <c r="S141" s="49">
        <v>0</v>
      </c>
      <c r="T141" s="49">
        <v>0</v>
      </c>
      <c r="U141" s="49">
        <v>0</v>
      </c>
      <c r="V141" s="49"/>
      <c r="W141" s="49">
        <v>0</v>
      </c>
      <c r="X141" s="1"/>
      <c r="Y141" s="1"/>
      <c r="Z141" s="1"/>
      <c r="AA141" s="1"/>
      <c r="AB141" s="1"/>
      <c r="AC141" s="1"/>
      <c r="AD141" s="1"/>
      <c r="AE141" s="1"/>
      <c r="AF141" s="1"/>
      <c r="AG141" s="1"/>
      <c r="AH141" s="1"/>
      <c r="AI141" s="1"/>
      <c r="AJ141" s="1"/>
      <c r="AK141" s="1"/>
      <c r="AL141" s="1"/>
    </row>
    <row r="142" spans="8:47" ht="17.25" customHeight="1" x14ac:dyDescent="0.2">
      <c r="H142" s="5"/>
      <c r="I142" s="43"/>
      <c r="J142" s="1"/>
      <c r="P142" s="47">
        <v>44172</v>
      </c>
      <c r="Q142" s="49">
        <v>0</v>
      </c>
      <c r="R142" s="49">
        <v>0</v>
      </c>
      <c r="S142" s="49">
        <v>0</v>
      </c>
      <c r="T142" s="49">
        <v>0</v>
      </c>
      <c r="U142" s="49">
        <v>0</v>
      </c>
      <c r="V142" s="49"/>
      <c r="W142" s="49">
        <v>0</v>
      </c>
      <c r="X142" s="1"/>
      <c r="Y142" s="1"/>
      <c r="Z142" s="1"/>
      <c r="AA142" s="1"/>
      <c r="AB142" s="1"/>
      <c r="AC142" s="1"/>
      <c r="AD142" s="1"/>
      <c r="AE142" s="1"/>
      <c r="AF142" s="1"/>
      <c r="AG142" s="1"/>
      <c r="AH142" s="1"/>
      <c r="AI142" s="1"/>
      <c r="AJ142" s="1"/>
      <c r="AK142" s="1"/>
      <c r="AL142" s="1"/>
    </row>
    <row r="143" spans="8:47" ht="17.25" customHeight="1" x14ac:dyDescent="0.2">
      <c r="H143" s="5"/>
      <c r="I143" s="43"/>
      <c r="J143" s="1"/>
      <c r="P143" s="47">
        <v>44173</v>
      </c>
      <c r="Q143" s="49">
        <v>0</v>
      </c>
      <c r="R143" s="49">
        <v>0</v>
      </c>
      <c r="S143" s="49">
        <v>0</v>
      </c>
      <c r="T143" s="49">
        <v>0</v>
      </c>
      <c r="U143" s="49">
        <v>0</v>
      </c>
      <c r="V143" s="49"/>
      <c r="W143" s="49">
        <v>0</v>
      </c>
      <c r="X143" s="1"/>
      <c r="Y143" s="1"/>
      <c r="Z143" s="1"/>
      <c r="AA143" s="1"/>
      <c r="AB143" s="1"/>
      <c r="AC143" s="1"/>
      <c r="AD143" s="1"/>
      <c r="AE143" s="1"/>
      <c r="AF143" s="1"/>
      <c r="AG143" s="1"/>
      <c r="AH143" s="1"/>
      <c r="AI143" s="1"/>
      <c r="AJ143" s="1"/>
      <c r="AK143" s="1"/>
      <c r="AL143" s="1"/>
    </row>
    <row r="144" spans="8:47" ht="17.25" customHeight="1" x14ac:dyDescent="0.2">
      <c r="H144" s="5"/>
      <c r="I144" s="43"/>
      <c r="J144" s="1"/>
      <c r="P144" s="47">
        <v>44174</v>
      </c>
      <c r="Q144" s="49">
        <v>8.4837962962962966E-3</v>
      </c>
      <c r="R144" s="49">
        <v>1.3194444444444444E-2</v>
      </c>
      <c r="S144" s="49">
        <v>4.4444444444444444E-3</v>
      </c>
      <c r="T144" s="49">
        <v>1.5150462962962963E-2</v>
      </c>
      <c r="U144" s="49">
        <v>8.7152777777777784E-3</v>
      </c>
      <c r="V144" s="49"/>
      <c r="W144" s="49">
        <v>4.9988425925925929E-2</v>
      </c>
      <c r="X144" s="1"/>
      <c r="Y144" s="1"/>
      <c r="Z144" s="1"/>
      <c r="AA144" s="1"/>
      <c r="AB144" s="1"/>
      <c r="AC144" s="1"/>
      <c r="AD144" s="1"/>
      <c r="AE144" s="1"/>
      <c r="AF144" s="1"/>
      <c r="AG144" s="1"/>
      <c r="AH144" s="1"/>
      <c r="AI144" s="1"/>
      <c r="AJ144" s="1"/>
      <c r="AK144" s="1"/>
      <c r="AL144" s="1"/>
    </row>
    <row r="145" spans="8:38" ht="17.25" customHeight="1" x14ac:dyDescent="0.2">
      <c r="H145" s="5"/>
      <c r="I145" s="43"/>
      <c r="J145" s="1"/>
      <c r="P145" s="47">
        <v>44175</v>
      </c>
      <c r="Q145" s="49">
        <v>1.2118055555555556E-2</v>
      </c>
      <c r="R145" s="49">
        <v>7.3958333333333341E-3</v>
      </c>
      <c r="S145" s="49">
        <v>2.372685185185185E-2</v>
      </c>
      <c r="T145" s="49">
        <v>0</v>
      </c>
      <c r="U145" s="49">
        <v>0</v>
      </c>
      <c r="V145" s="49"/>
      <c r="W145" s="49">
        <v>4.3240740740740739E-2</v>
      </c>
      <c r="X145" s="1"/>
      <c r="Y145" s="1"/>
      <c r="Z145" s="1"/>
      <c r="AA145" s="1"/>
      <c r="AB145" s="1"/>
      <c r="AC145" s="1"/>
      <c r="AD145" s="1"/>
      <c r="AE145" s="1"/>
      <c r="AF145" s="1"/>
      <c r="AG145" s="1"/>
      <c r="AH145" s="1"/>
      <c r="AI145" s="1"/>
      <c r="AJ145" s="1"/>
      <c r="AK145" s="1"/>
      <c r="AL145" s="1"/>
    </row>
    <row r="146" spans="8:38" ht="17.25" customHeight="1" x14ac:dyDescent="0.2">
      <c r="H146" s="5"/>
      <c r="I146" s="43"/>
      <c r="J146" s="1"/>
      <c r="P146" s="47">
        <v>44176</v>
      </c>
      <c r="Q146" s="49">
        <v>5.4513888888888884E-3</v>
      </c>
      <c r="R146" s="49">
        <v>1.8518518518518518E-4</v>
      </c>
      <c r="S146" s="49">
        <v>1.3194444444444443E-3</v>
      </c>
      <c r="T146" s="49">
        <v>2.7777777777777779E-3</v>
      </c>
      <c r="U146" s="49">
        <v>3.4375E-3</v>
      </c>
      <c r="V146" s="49"/>
      <c r="W146" s="49">
        <v>1.3171296296296296E-2</v>
      </c>
      <c r="X146" s="1"/>
      <c r="Y146" s="1"/>
      <c r="Z146" s="1"/>
      <c r="AA146" s="1"/>
      <c r="AB146" s="1"/>
      <c r="AC146" s="1"/>
      <c r="AD146" s="1"/>
      <c r="AE146" s="1"/>
      <c r="AF146" s="1"/>
      <c r="AG146" s="1"/>
      <c r="AH146" s="1"/>
      <c r="AI146" s="1"/>
      <c r="AJ146" s="1"/>
      <c r="AK146" s="1"/>
      <c r="AL146" s="1"/>
    </row>
    <row r="147" spans="8:38" ht="17.25" customHeight="1" x14ac:dyDescent="0.2">
      <c r="H147" s="5"/>
      <c r="I147" s="43"/>
      <c r="J147" s="1"/>
      <c r="P147" s="47">
        <v>44177</v>
      </c>
      <c r="Q147" s="49">
        <v>0</v>
      </c>
      <c r="R147" s="49">
        <v>0</v>
      </c>
      <c r="S147" s="49">
        <v>0</v>
      </c>
      <c r="T147" s="49">
        <v>0</v>
      </c>
      <c r="U147" s="49">
        <v>0</v>
      </c>
      <c r="V147" s="49"/>
      <c r="W147" s="49">
        <v>0</v>
      </c>
      <c r="X147" s="1"/>
      <c r="Y147" s="1"/>
      <c r="Z147" s="1"/>
      <c r="AA147" s="1"/>
      <c r="AB147" s="1"/>
      <c r="AC147" s="1"/>
      <c r="AD147" s="1"/>
      <c r="AE147" s="1"/>
      <c r="AF147" s="1"/>
      <c r="AG147" s="1"/>
      <c r="AH147" s="1"/>
      <c r="AI147" s="1"/>
      <c r="AJ147" s="1"/>
      <c r="AK147" s="1"/>
      <c r="AL147" s="1"/>
    </row>
    <row r="148" spans="8:38" ht="17.25" customHeight="1" x14ac:dyDescent="0.2">
      <c r="H148" s="5"/>
      <c r="I148" s="43"/>
      <c r="J148" s="1"/>
      <c r="P148" s="47">
        <v>44178</v>
      </c>
      <c r="Q148" s="49">
        <v>0</v>
      </c>
      <c r="R148" s="49">
        <v>0</v>
      </c>
      <c r="S148" s="49">
        <v>0</v>
      </c>
      <c r="T148" s="49">
        <v>0</v>
      </c>
      <c r="U148" s="49">
        <v>0</v>
      </c>
      <c r="V148" s="49"/>
      <c r="W148" s="49">
        <v>0</v>
      </c>
      <c r="X148" s="1"/>
      <c r="Y148" s="1"/>
      <c r="Z148" s="1"/>
      <c r="AA148" s="1"/>
      <c r="AB148" s="1"/>
      <c r="AC148" s="1"/>
      <c r="AD148" s="1"/>
      <c r="AE148" s="1"/>
      <c r="AF148" s="1"/>
      <c r="AG148" s="1"/>
      <c r="AH148" s="1"/>
      <c r="AI148" s="1"/>
      <c r="AJ148" s="1"/>
      <c r="AK148" s="1"/>
      <c r="AL148" s="1"/>
    </row>
    <row r="149" spans="8:38" ht="17.25" customHeight="1" x14ac:dyDescent="0.2">
      <c r="H149" s="5"/>
      <c r="I149" s="43"/>
      <c r="J149" s="1"/>
      <c r="P149" s="47">
        <v>44179</v>
      </c>
      <c r="Q149" s="49">
        <v>0</v>
      </c>
      <c r="R149" s="49">
        <v>0</v>
      </c>
      <c r="S149" s="49">
        <v>0</v>
      </c>
      <c r="T149" s="49">
        <v>0</v>
      </c>
      <c r="U149" s="49">
        <v>0</v>
      </c>
      <c r="V149" s="49"/>
      <c r="W149" s="49">
        <v>0</v>
      </c>
      <c r="X149" s="1"/>
      <c r="Y149" s="1"/>
      <c r="Z149" s="1"/>
      <c r="AA149" s="1"/>
      <c r="AB149" s="1"/>
      <c r="AC149" s="1"/>
      <c r="AD149" s="1"/>
      <c r="AE149" s="1"/>
      <c r="AF149" s="1"/>
      <c r="AG149" s="1"/>
      <c r="AH149" s="1"/>
      <c r="AI149" s="1"/>
      <c r="AJ149" s="1"/>
      <c r="AK149" s="1"/>
      <c r="AL149" s="1"/>
    </row>
    <row r="150" spans="8:38" ht="17.25" customHeight="1" x14ac:dyDescent="0.2">
      <c r="H150" s="5"/>
      <c r="I150" s="43"/>
      <c r="J150" s="1"/>
      <c r="P150" s="47">
        <v>44180</v>
      </c>
      <c r="Q150" s="49">
        <v>0</v>
      </c>
      <c r="R150" s="49">
        <v>0</v>
      </c>
      <c r="S150" s="49">
        <v>0</v>
      </c>
      <c r="T150" s="49">
        <v>0</v>
      </c>
      <c r="U150" s="49">
        <v>0</v>
      </c>
      <c r="V150" s="49"/>
      <c r="W150" s="49">
        <v>0</v>
      </c>
      <c r="X150" s="1"/>
      <c r="Y150" s="1"/>
      <c r="Z150" s="1"/>
      <c r="AA150" s="1"/>
      <c r="AB150" s="1"/>
      <c r="AC150" s="1"/>
      <c r="AD150" s="1"/>
      <c r="AE150" s="1"/>
      <c r="AF150" s="1"/>
      <c r="AG150" s="1"/>
      <c r="AH150" s="1"/>
      <c r="AI150" s="1"/>
      <c r="AJ150" s="1"/>
      <c r="AK150" s="1"/>
      <c r="AL150" s="1"/>
    </row>
    <row r="151" spans="8:38" ht="17.25" customHeight="1" x14ac:dyDescent="0.2">
      <c r="H151" s="5"/>
      <c r="I151" s="43"/>
      <c r="J151" s="1"/>
      <c r="P151" s="47">
        <v>44181</v>
      </c>
      <c r="Q151" s="49">
        <v>0</v>
      </c>
      <c r="R151" s="49">
        <v>0</v>
      </c>
      <c r="S151" s="49">
        <v>0</v>
      </c>
      <c r="T151" s="49">
        <v>0</v>
      </c>
      <c r="U151" s="49">
        <v>0</v>
      </c>
      <c r="V151" s="49"/>
      <c r="W151" s="49">
        <v>0</v>
      </c>
      <c r="X151" s="1"/>
      <c r="Y151" s="1"/>
      <c r="Z151" s="1"/>
      <c r="AA151" s="1"/>
      <c r="AB151" s="1"/>
      <c r="AC151" s="1"/>
      <c r="AD151" s="1"/>
      <c r="AE151" s="1"/>
      <c r="AF151" s="1"/>
      <c r="AG151" s="1"/>
      <c r="AH151" s="1"/>
      <c r="AI151" s="1"/>
      <c r="AJ151" s="1"/>
      <c r="AK151" s="1"/>
      <c r="AL151" s="1"/>
    </row>
    <row r="152" spans="8:38" ht="17.25" customHeight="1" x14ac:dyDescent="0.2">
      <c r="H152" s="5"/>
      <c r="I152" s="43"/>
      <c r="J152" s="1"/>
      <c r="P152" s="47">
        <v>44182</v>
      </c>
      <c r="Q152" s="49">
        <v>0</v>
      </c>
      <c r="R152" s="49">
        <v>0</v>
      </c>
      <c r="S152" s="49">
        <v>0</v>
      </c>
      <c r="T152" s="49">
        <v>0</v>
      </c>
      <c r="U152" s="49">
        <v>0</v>
      </c>
      <c r="V152" s="49"/>
      <c r="W152" s="49">
        <v>0</v>
      </c>
      <c r="X152" s="1"/>
      <c r="Y152" s="1"/>
      <c r="Z152" s="1"/>
      <c r="AA152" s="1"/>
      <c r="AB152" s="1"/>
      <c r="AC152" s="1"/>
      <c r="AD152" s="1"/>
      <c r="AE152" s="1"/>
      <c r="AF152" s="1"/>
      <c r="AG152" s="1"/>
      <c r="AH152" s="1"/>
      <c r="AI152" s="1"/>
      <c r="AJ152" s="1"/>
      <c r="AK152" s="1"/>
      <c r="AL152" s="1"/>
    </row>
    <row r="153" spans="8:38" ht="17.25" customHeight="1" x14ac:dyDescent="0.2">
      <c r="H153" s="5"/>
      <c r="I153" s="43"/>
      <c r="J153" s="1"/>
      <c r="P153" s="47">
        <v>44183</v>
      </c>
      <c r="Q153" s="49">
        <v>0</v>
      </c>
      <c r="R153" s="49">
        <v>0</v>
      </c>
      <c r="S153" s="49">
        <v>0</v>
      </c>
      <c r="T153" s="49">
        <v>0</v>
      </c>
      <c r="U153" s="49">
        <v>0</v>
      </c>
      <c r="V153" s="49"/>
      <c r="W153" s="49">
        <v>0</v>
      </c>
      <c r="X153" s="1"/>
      <c r="Y153" s="1"/>
      <c r="Z153" s="1"/>
      <c r="AA153" s="1"/>
      <c r="AB153" s="1"/>
      <c r="AC153" s="1"/>
      <c r="AD153" s="1"/>
      <c r="AE153" s="1"/>
      <c r="AF153" s="1"/>
      <c r="AG153" s="1"/>
      <c r="AH153" s="1"/>
      <c r="AI153" s="1"/>
      <c r="AJ153" s="1"/>
      <c r="AK153" s="1"/>
      <c r="AL153" s="1"/>
    </row>
    <row r="154" spans="8:38" x14ac:dyDescent="0.2">
      <c r="H154" s="5"/>
      <c r="I154" s="43"/>
      <c r="J154" s="1"/>
      <c r="P154" s="47">
        <v>44184</v>
      </c>
      <c r="Q154" s="49"/>
      <c r="R154" s="49"/>
      <c r="S154" s="49"/>
      <c r="T154" s="49"/>
      <c r="U154" s="49"/>
      <c r="V154" s="49">
        <v>0</v>
      </c>
      <c r="W154" s="49">
        <v>0</v>
      </c>
      <c r="X154" s="1"/>
      <c r="Y154" s="1"/>
      <c r="Z154" s="1"/>
      <c r="AA154" s="1"/>
      <c r="AB154" s="1"/>
      <c r="AC154" s="1"/>
      <c r="AD154" s="1"/>
      <c r="AE154" s="1"/>
      <c r="AF154" s="1"/>
      <c r="AG154" s="1"/>
      <c r="AH154" s="1"/>
      <c r="AI154" s="1"/>
      <c r="AJ154" s="1"/>
      <c r="AK154" s="1"/>
      <c r="AL154" s="1"/>
    </row>
    <row r="155" spans="8:38" x14ac:dyDescent="0.2">
      <c r="H155" s="5"/>
      <c r="I155" s="43"/>
      <c r="J155" s="1"/>
      <c r="P155" s="47">
        <v>44185</v>
      </c>
      <c r="Q155" s="49"/>
      <c r="R155" s="49"/>
      <c r="S155" s="49"/>
      <c r="T155" s="49"/>
      <c r="U155" s="49"/>
      <c r="V155" s="49">
        <v>0</v>
      </c>
      <c r="W155" s="49">
        <v>0</v>
      </c>
      <c r="X155" s="1"/>
      <c r="Y155" s="1"/>
      <c r="Z155" s="1"/>
      <c r="AA155" s="1"/>
      <c r="AB155" s="1"/>
      <c r="AC155" s="1"/>
      <c r="AD155" s="1"/>
      <c r="AE155" s="1"/>
      <c r="AF155" s="1"/>
      <c r="AG155" s="1"/>
      <c r="AH155" s="1"/>
      <c r="AI155" s="1"/>
      <c r="AJ155" s="1"/>
      <c r="AK155" s="1"/>
      <c r="AL155" s="1"/>
    </row>
    <row r="156" spans="8:38" x14ac:dyDescent="0.2">
      <c r="H156" s="5"/>
      <c r="I156" s="43"/>
      <c r="J156" s="1"/>
      <c r="P156" s="47">
        <v>44186</v>
      </c>
      <c r="Q156" s="49">
        <v>0</v>
      </c>
      <c r="R156" s="49">
        <v>0</v>
      </c>
      <c r="S156" s="49">
        <v>0</v>
      </c>
      <c r="T156" s="49">
        <v>0</v>
      </c>
      <c r="U156" s="49">
        <v>0</v>
      </c>
      <c r="V156" s="49"/>
      <c r="W156" s="49">
        <v>0</v>
      </c>
      <c r="X156" s="1"/>
      <c r="Y156" s="1"/>
      <c r="Z156" s="1"/>
      <c r="AA156" s="1"/>
      <c r="AB156" s="1"/>
      <c r="AC156" s="1"/>
      <c r="AD156" s="1"/>
      <c r="AE156" s="1"/>
      <c r="AF156" s="1"/>
      <c r="AG156" s="1"/>
      <c r="AH156" s="1"/>
      <c r="AI156" s="1"/>
      <c r="AJ156" s="1"/>
      <c r="AK156" s="1"/>
      <c r="AL156" s="1"/>
    </row>
    <row r="157" spans="8:38" x14ac:dyDescent="0.2">
      <c r="H157" s="5"/>
      <c r="I157" s="43"/>
      <c r="J157" s="1"/>
      <c r="P157" s="47" t="s">
        <v>32</v>
      </c>
      <c r="Q157" s="49">
        <v>9.5023148148148148E-2</v>
      </c>
      <c r="R157" s="49">
        <v>5.813657407407407E-2</v>
      </c>
      <c r="S157" s="49">
        <v>3.8969907407407404E-2</v>
      </c>
      <c r="T157" s="49">
        <v>3.4166666666666665E-2</v>
      </c>
      <c r="U157" s="49">
        <v>1.2152777777777778E-2</v>
      </c>
      <c r="V157" s="49">
        <v>0</v>
      </c>
      <c r="W157" s="49">
        <v>0.23844907407407406</v>
      </c>
      <c r="X157" s="1"/>
      <c r="Y157" s="1"/>
      <c r="Z157" s="1"/>
      <c r="AA157" s="1"/>
      <c r="AB157" s="1"/>
      <c r="AC157" s="1"/>
      <c r="AD157" s="1"/>
      <c r="AE157" s="1"/>
      <c r="AF157" s="1"/>
      <c r="AG157" s="1"/>
      <c r="AH157" s="1"/>
      <c r="AI157" s="1"/>
      <c r="AJ157" s="1"/>
      <c r="AK157" s="1"/>
      <c r="AL157" s="1"/>
    </row>
    <row r="158" spans="8:38" x14ac:dyDescent="0.2">
      <c r="H158" s="5"/>
      <c r="I158" s="43"/>
      <c r="J158" s="1"/>
      <c r="P158" s="1"/>
      <c r="Q158" s="1"/>
      <c r="R158" s="1"/>
      <c r="S158" s="1"/>
      <c r="T158" s="1"/>
      <c r="U158" s="1"/>
      <c r="V158" s="1"/>
      <c r="W158" s="1"/>
      <c r="X158" s="1"/>
      <c r="Y158" s="1"/>
      <c r="Z158" s="1"/>
      <c r="AA158" s="1"/>
      <c r="AB158" s="1"/>
      <c r="AC158" s="1"/>
      <c r="AD158" s="1"/>
      <c r="AE158" s="1"/>
      <c r="AF158" s="1"/>
      <c r="AG158" s="1"/>
      <c r="AH158" s="1"/>
      <c r="AI158" s="1"/>
      <c r="AJ158" s="1"/>
      <c r="AK158" s="1"/>
      <c r="AL158" s="1"/>
    </row>
    <row r="159" spans="8:38" x14ac:dyDescent="0.2">
      <c r="H159" s="5"/>
      <c r="I159" s="43"/>
      <c r="J159" s="1"/>
      <c r="P159" s="1"/>
      <c r="Q159" s="1"/>
      <c r="R159" s="1"/>
      <c r="S159" s="1"/>
      <c r="T159" s="1"/>
      <c r="U159" s="1"/>
      <c r="V159" s="1"/>
      <c r="W159" s="1"/>
      <c r="X159" s="1"/>
      <c r="Y159" s="1"/>
      <c r="Z159" s="1"/>
      <c r="AA159" s="1"/>
      <c r="AB159" s="1"/>
      <c r="AC159" s="1"/>
      <c r="AD159" s="1"/>
      <c r="AE159" s="1"/>
      <c r="AF159" s="1"/>
      <c r="AG159" s="1"/>
      <c r="AH159" s="1"/>
      <c r="AI159" s="1"/>
      <c r="AJ159" s="1"/>
      <c r="AK159" s="1"/>
      <c r="AL159" s="1"/>
    </row>
    <row r="160" spans="8:38" x14ac:dyDescent="0.2">
      <c r="H160" s="5"/>
      <c r="I160" s="43"/>
      <c r="J160" s="1"/>
      <c r="P160" s="1"/>
      <c r="Q160" s="1"/>
      <c r="R160" s="1"/>
      <c r="S160" s="1"/>
      <c r="T160" s="1"/>
      <c r="U160" s="1"/>
      <c r="V160" s="1"/>
      <c r="W160" s="1"/>
      <c r="X160" s="1"/>
      <c r="Y160" s="1"/>
      <c r="Z160" s="1"/>
      <c r="AA160" s="1"/>
      <c r="AB160" s="1"/>
      <c r="AC160" s="1"/>
      <c r="AD160" s="1"/>
      <c r="AE160" s="1"/>
      <c r="AF160" s="1"/>
      <c r="AG160" s="1"/>
      <c r="AH160" s="1"/>
      <c r="AI160" s="1"/>
      <c r="AJ160" s="1"/>
      <c r="AK160" s="1"/>
      <c r="AL160" s="1"/>
    </row>
    <row r="161" spans="8:38" x14ac:dyDescent="0.2">
      <c r="H161" s="5"/>
      <c r="I161" s="43"/>
      <c r="J161" s="1"/>
      <c r="P161" s="1"/>
      <c r="Q161" s="1"/>
      <c r="R161" s="1"/>
      <c r="S161" s="1"/>
      <c r="T161" s="1"/>
      <c r="U161" s="1"/>
      <c r="V161" s="1"/>
      <c r="W161" s="1"/>
      <c r="X161" s="1"/>
      <c r="Y161" s="1"/>
      <c r="Z161" s="1"/>
      <c r="AA161" s="1"/>
      <c r="AB161" s="1"/>
      <c r="AC161" s="1"/>
      <c r="AD161" s="1"/>
      <c r="AE161" s="1"/>
      <c r="AF161" s="1"/>
      <c r="AG161" s="1"/>
      <c r="AH161" s="1"/>
      <c r="AI161" s="1"/>
      <c r="AJ161" s="1"/>
      <c r="AK161" s="1"/>
      <c r="AL161" s="1"/>
    </row>
    <row r="162" spans="8:38" x14ac:dyDescent="0.2">
      <c r="H162" s="5"/>
      <c r="I162" s="43"/>
      <c r="J162" s="1"/>
      <c r="P162" s="1"/>
      <c r="Q162" s="1"/>
      <c r="R162" s="1"/>
      <c r="S162" s="1"/>
      <c r="T162" s="1"/>
      <c r="U162" s="1"/>
      <c r="V162" s="1"/>
      <c r="W162" s="1"/>
      <c r="X162" s="1"/>
      <c r="Y162" s="1"/>
      <c r="Z162" s="1"/>
      <c r="AA162" s="1"/>
      <c r="AB162" s="1"/>
      <c r="AC162" s="1"/>
      <c r="AD162" s="1"/>
      <c r="AE162" s="1"/>
      <c r="AF162" s="1"/>
      <c r="AG162" s="1"/>
      <c r="AH162" s="1"/>
      <c r="AI162" s="1"/>
      <c r="AJ162" s="1"/>
      <c r="AK162" s="1"/>
      <c r="AL162" s="1"/>
    </row>
    <row r="163" spans="8:38" x14ac:dyDescent="0.2">
      <c r="H163" s="5"/>
      <c r="I163" s="43"/>
      <c r="J163" s="1"/>
      <c r="P163" s="1"/>
      <c r="Q163" s="1"/>
      <c r="R163" s="1"/>
      <c r="S163" s="1"/>
      <c r="T163" s="1"/>
      <c r="U163" s="1"/>
      <c r="V163" s="1"/>
      <c r="W163" s="1"/>
      <c r="X163" s="1"/>
      <c r="Y163" s="1"/>
      <c r="Z163" s="1"/>
      <c r="AA163" s="1"/>
      <c r="AB163" s="1"/>
      <c r="AC163" s="1"/>
      <c r="AD163" s="1"/>
      <c r="AE163" s="1"/>
      <c r="AF163" s="1"/>
      <c r="AG163" s="1"/>
      <c r="AH163" s="1"/>
      <c r="AI163" s="1"/>
      <c r="AJ163" s="1"/>
      <c r="AK163" s="1"/>
      <c r="AL163" s="1"/>
    </row>
    <row r="164" spans="8:38" x14ac:dyDescent="0.2">
      <c r="H164" s="5"/>
      <c r="I164" s="43"/>
      <c r="J164" s="1"/>
      <c r="P164" s="1"/>
      <c r="Q164" s="1"/>
      <c r="R164" s="1"/>
      <c r="S164" s="1"/>
      <c r="T164" s="1"/>
      <c r="U164" s="1"/>
      <c r="V164" s="1"/>
      <c r="W164" s="1"/>
      <c r="X164" s="1"/>
      <c r="Y164" s="1"/>
      <c r="Z164" s="1"/>
      <c r="AA164" s="1"/>
      <c r="AB164" s="1"/>
      <c r="AC164" s="1"/>
      <c r="AD164" s="1"/>
      <c r="AE164" s="1"/>
      <c r="AF164" s="1"/>
      <c r="AG164" s="1"/>
      <c r="AH164" s="1"/>
      <c r="AI164" s="1"/>
      <c r="AJ164" s="1"/>
      <c r="AK164" s="1"/>
      <c r="AL164" s="1"/>
    </row>
    <row r="165" spans="8:38" x14ac:dyDescent="0.2">
      <c r="H165"/>
      <c r="I165"/>
      <c r="J165"/>
      <c r="P165"/>
      <c r="Q165"/>
      <c r="R165"/>
      <c r="S165"/>
      <c r="T165"/>
      <c r="U165"/>
      <c r="V165"/>
      <c r="W165"/>
      <c r="X165"/>
      <c r="Y165"/>
      <c r="Z165"/>
      <c r="AA165"/>
      <c r="AB165"/>
      <c r="AC165"/>
      <c r="AD165"/>
      <c r="AE165"/>
      <c r="AF165"/>
      <c r="AG165"/>
      <c r="AH165"/>
      <c r="AI165"/>
      <c r="AJ165"/>
      <c r="AK165"/>
      <c r="AL165"/>
    </row>
    <row r="166" spans="8:38" x14ac:dyDescent="0.2">
      <c r="H166"/>
      <c r="I166"/>
      <c r="J166"/>
      <c r="P166" s="41" t="s">
        <v>21</v>
      </c>
      <c r="Q166" s="1" t="s">
        <v>75</v>
      </c>
      <c r="R166"/>
      <c r="S166"/>
      <c r="T166"/>
      <c r="U166"/>
      <c r="V166"/>
      <c r="W166"/>
      <c r="X166"/>
      <c r="Y166"/>
      <c r="Z166"/>
      <c r="AA166"/>
      <c r="AB166"/>
      <c r="AC166"/>
      <c r="AD166"/>
      <c r="AE166"/>
      <c r="AF166"/>
      <c r="AG166"/>
      <c r="AH166"/>
      <c r="AI166"/>
      <c r="AJ166"/>
      <c r="AK166"/>
      <c r="AL166"/>
    </row>
    <row r="167" spans="8:38" x14ac:dyDescent="0.2">
      <c r="H167"/>
      <c r="I167"/>
      <c r="J167"/>
      <c r="P167"/>
      <c r="Q167"/>
      <c r="R167"/>
      <c r="S167"/>
      <c r="T167"/>
      <c r="U167"/>
      <c r="V167"/>
      <c r="W167"/>
      <c r="X167"/>
      <c r="Y167"/>
      <c r="Z167"/>
      <c r="AA167"/>
      <c r="AB167"/>
      <c r="AC167"/>
      <c r="AD167"/>
      <c r="AE167"/>
      <c r="AF167"/>
      <c r="AG167"/>
      <c r="AH167"/>
      <c r="AI167"/>
      <c r="AJ167"/>
      <c r="AK167"/>
      <c r="AL167"/>
    </row>
    <row r="168" spans="8:38" x14ac:dyDescent="0.2">
      <c r="H168"/>
      <c r="I168"/>
      <c r="J168"/>
      <c r="P168" s="41" t="s">
        <v>31</v>
      </c>
      <c r="Q168" t="s">
        <v>44</v>
      </c>
      <c r="R168"/>
      <c r="S168"/>
      <c r="T168"/>
      <c r="U168"/>
      <c r="V168"/>
      <c r="W168"/>
      <c r="X168"/>
      <c r="Y168"/>
      <c r="Z168"/>
      <c r="AA168"/>
      <c r="AB168"/>
      <c r="AC168"/>
      <c r="AD168"/>
      <c r="AE168"/>
      <c r="AF168"/>
      <c r="AG168"/>
      <c r="AH168"/>
      <c r="AI168"/>
      <c r="AJ168"/>
      <c r="AK168"/>
      <c r="AL168"/>
    </row>
    <row r="169" spans="8:38" x14ac:dyDescent="0.2">
      <c r="H169"/>
      <c r="I169"/>
      <c r="J169"/>
      <c r="P169" s="5" t="s">
        <v>25</v>
      </c>
      <c r="Q169" s="43">
        <v>20.700000000000234</v>
      </c>
      <c r="R169"/>
      <c r="S169"/>
      <c r="T169"/>
      <c r="U169"/>
      <c r="V169"/>
      <c r="W169"/>
      <c r="X169"/>
      <c r="Y169"/>
      <c r="Z169"/>
      <c r="AA169"/>
      <c r="AB169"/>
      <c r="AC169"/>
      <c r="AD169"/>
      <c r="AE169"/>
      <c r="AF169"/>
      <c r="AG169"/>
      <c r="AH169"/>
      <c r="AI169"/>
      <c r="AJ169"/>
      <c r="AK169"/>
      <c r="AL169"/>
    </row>
    <row r="170" spans="8:38" x14ac:dyDescent="0.2">
      <c r="H170"/>
      <c r="I170"/>
      <c r="J170"/>
      <c r="P170" s="5" t="s">
        <v>26</v>
      </c>
      <c r="Q170" s="43">
        <v>35.500000000001357</v>
      </c>
      <c r="R170"/>
      <c r="S170"/>
      <c r="T170"/>
      <c r="U170"/>
      <c r="V170"/>
      <c r="W170"/>
      <c r="X170"/>
      <c r="Y170"/>
      <c r="Z170"/>
      <c r="AA170"/>
      <c r="AB170"/>
      <c r="AC170"/>
      <c r="AD170"/>
      <c r="AE170"/>
      <c r="AF170"/>
      <c r="AG170"/>
      <c r="AH170"/>
      <c r="AI170"/>
      <c r="AJ170"/>
      <c r="AK170"/>
      <c r="AL170"/>
    </row>
    <row r="171" spans="8:38" x14ac:dyDescent="0.2">
      <c r="H171"/>
      <c r="I171"/>
      <c r="J171"/>
      <c r="P171" s="5" t="s">
        <v>32</v>
      </c>
      <c r="Q171" s="43">
        <v>56.200000000001594</v>
      </c>
      <c r="R171"/>
      <c r="S171"/>
      <c r="T171"/>
      <c r="U171"/>
      <c r="V171"/>
      <c r="W171"/>
      <c r="X171"/>
      <c r="Y171"/>
      <c r="Z171"/>
      <c r="AA171"/>
      <c r="AB171"/>
      <c r="AC171"/>
      <c r="AD171"/>
      <c r="AE171"/>
      <c r="AF171"/>
      <c r="AG171"/>
      <c r="AH171"/>
      <c r="AI171"/>
      <c r="AJ171"/>
      <c r="AK171"/>
      <c r="AL171"/>
    </row>
    <row r="172" spans="8:38" x14ac:dyDescent="0.2">
      <c r="H172"/>
      <c r="I172"/>
      <c r="J172"/>
      <c r="P172"/>
      <c r="Q172"/>
      <c r="R172"/>
      <c r="S172"/>
      <c r="T172"/>
      <c r="U172"/>
      <c r="V172"/>
      <c r="W172"/>
      <c r="X172"/>
      <c r="Y172"/>
      <c r="Z172"/>
      <c r="AA172"/>
      <c r="AB172"/>
      <c r="AC172"/>
      <c r="AD172"/>
      <c r="AE172"/>
      <c r="AF172"/>
      <c r="AG172"/>
      <c r="AH172"/>
      <c r="AI172"/>
      <c r="AJ172"/>
      <c r="AK172"/>
      <c r="AL172"/>
    </row>
    <row r="173" spans="8:38" x14ac:dyDescent="0.2">
      <c r="H173"/>
      <c r="I173"/>
      <c r="J173"/>
      <c r="P173"/>
      <c r="Q173"/>
      <c r="R173"/>
      <c r="S173"/>
      <c r="T173"/>
      <c r="U173"/>
      <c r="V173"/>
      <c r="W173"/>
      <c r="X173"/>
      <c r="Y173"/>
      <c r="Z173"/>
      <c r="AA173"/>
      <c r="AB173"/>
      <c r="AC173"/>
      <c r="AD173"/>
      <c r="AE173"/>
      <c r="AF173"/>
      <c r="AG173"/>
      <c r="AH173"/>
      <c r="AI173"/>
      <c r="AJ173"/>
      <c r="AK173"/>
      <c r="AL173"/>
    </row>
    <row r="174" spans="8:38" x14ac:dyDescent="0.2">
      <c r="H174"/>
      <c r="I174"/>
      <c r="J174"/>
      <c r="P174"/>
      <c r="Q174"/>
      <c r="R174"/>
      <c r="S174"/>
      <c r="T174"/>
      <c r="U174"/>
      <c r="V174"/>
      <c r="W174"/>
      <c r="X174"/>
      <c r="Y174"/>
      <c r="Z174"/>
      <c r="AA174"/>
      <c r="AB174"/>
      <c r="AC174"/>
      <c r="AD174"/>
      <c r="AE174"/>
      <c r="AF174"/>
      <c r="AG174"/>
      <c r="AH174"/>
      <c r="AI174"/>
      <c r="AJ174"/>
      <c r="AK174"/>
      <c r="AL174"/>
    </row>
    <row r="175" spans="8:38" x14ac:dyDescent="0.2">
      <c r="H175"/>
      <c r="I175"/>
      <c r="J175"/>
      <c r="P175"/>
      <c r="Q175"/>
      <c r="R175"/>
      <c r="S175"/>
      <c r="T175"/>
      <c r="U175"/>
      <c r="V175"/>
      <c r="W175"/>
      <c r="X175"/>
      <c r="Y175"/>
      <c r="Z175"/>
      <c r="AA175"/>
      <c r="AB175"/>
      <c r="AC175"/>
      <c r="AD175"/>
      <c r="AE175"/>
      <c r="AF175"/>
      <c r="AG175"/>
      <c r="AH175"/>
      <c r="AI175"/>
      <c r="AJ175"/>
      <c r="AK175"/>
      <c r="AL175"/>
    </row>
    <row r="176" spans="8:38" x14ac:dyDescent="0.2">
      <c r="H176"/>
      <c r="I176"/>
      <c r="J176"/>
      <c r="P176"/>
      <c r="Q176"/>
      <c r="R176"/>
      <c r="S176"/>
      <c r="T176"/>
      <c r="U176"/>
      <c r="V176"/>
      <c r="W176"/>
      <c r="X176"/>
      <c r="Y176"/>
      <c r="Z176"/>
      <c r="AA176"/>
    </row>
    <row r="177" spans="8:27" x14ac:dyDescent="0.2">
      <c r="H177"/>
      <c r="P177"/>
      <c r="Q177"/>
      <c r="R177"/>
      <c r="S177"/>
      <c r="T177"/>
      <c r="U177"/>
      <c r="V177"/>
      <c r="W177"/>
      <c r="X177"/>
      <c r="Y177"/>
      <c r="Z177"/>
      <c r="AA177"/>
    </row>
    <row r="178" spans="8:27" x14ac:dyDescent="0.2">
      <c r="H178"/>
      <c r="P178"/>
      <c r="Q178"/>
      <c r="R178"/>
      <c r="S178"/>
      <c r="T178"/>
      <c r="U178"/>
      <c r="V178"/>
      <c r="W178"/>
      <c r="X178"/>
      <c r="Y178"/>
      <c r="Z178"/>
      <c r="AA178"/>
    </row>
    <row r="179" spans="8:27" x14ac:dyDescent="0.2">
      <c r="H179"/>
      <c r="P179"/>
      <c r="Q179"/>
      <c r="R179"/>
      <c r="S179"/>
      <c r="T179"/>
      <c r="U179"/>
      <c r="V179"/>
      <c r="W179"/>
      <c r="X179"/>
      <c r="Y179"/>
      <c r="Z179"/>
      <c r="AA179"/>
    </row>
    <row r="180" spans="8:27" x14ac:dyDescent="0.2">
      <c r="H180"/>
      <c r="P180"/>
      <c r="Q180"/>
      <c r="R180"/>
      <c r="S180"/>
      <c r="T180"/>
      <c r="U180"/>
      <c r="V180"/>
      <c r="W180"/>
      <c r="X180"/>
      <c r="Y180"/>
      <c r="Z180"/>
      <c r="AA180"/>
    </row>
    <row r="181" spans="8:27" x14ac:dyDescent="0.2">
      <c r="H181"/>
      <c r="P181"/>
      <c r="Q181"/>
      <c r="R181"/>
      <c r="S181"/>
      <c r="T181"/>
      <c r="U181"/>
      <c r="V181"/>
      <c r="W181"/>
      <c r="X181"/>
      <c r="Y181"/>
      <c r="Z181"/>
      <c r="AA181"/>
    </row>
    <row r="182" spans="8:27" x14ac:dyDescent="0.2">
      <c r="H182"/>
      <c r="P182"/>
      <c r="Q182"/>
      <c r="R182"/>
      <c r="S182"/>
      <c r="T182"/>
      <c r="U182"/>
      <c r="V182"/>
      <c r="W182"/>
      <c r="X182"/>
      <c r="Y182"/>
      <c r="Z182"/>
      <c r="AA182"/>
    </row>
    <row r="183" spans="8:27" x14ac:dyDescent="0.2">
      <c r="H183"/>
      <c r="P183"/>
      <c r="Q183"/>
      <c r="R183"/>
      <c r="S183"/>
      <c r="T183"/>
      <c r="U183"/>
      <c r="V183"/>
      <c r="W183"/>
      <c r="X183"/>
      <c r="Y183"/>
      <c r="Z183"/>
      <c r="AA183"/>
    </row>
    <row r="184" spans="8:27" x14ac:dyDescent="0.2">
      <c r="H184"/>
      <c r="P184"/>
      <c r="Q184"/>
      <c r="R184"/>
      <c r="S184"/>
      <c r="T184"/>
      <c r="U184"/>
      <c r="V184"/>
      <c r="W184"/>
      <c r="X184"/>
      <c r="Y184"/>
      <c r="Z184"/>
      <c r="AA184"/>
    </row>
    <row r="185" spans="8:27" x14ac:dyDescent="0.2">
      <c r="H185"/>
      <c r="P185"/>
      <c r="Q185"/>
      <c r="R185"/>
      <c r="S185"/>
      <c r="T185"/>
      <c r="U185"/>
      <c r="V185"/>
      <c r="W185"/>
      <c r="X185"/>
      <c r="Y185"/>
      <c r="Z185"/>
      <c r="AA185"/>
    </row>
    <row r="186" spans="8:27" x14ac:dyDescent="0.2">
      <c r="H186"/>
      <c r="P186"/>
      <c r="Q186"/>
      <c r="R186"/>
      <c r="S186"/>
      <c r="T186"/>
      <c r="U186"/>
      <c r="V186"/>
      <c r="W186"/>
      <c r="X186"/>
      <c r="Y186"/>
      <c r="Z186"/>
      <c r="AA186"/>
    </row>
    <row r="187" spans="8:27" x14ac:dyDescent="0.2">
      <c r="H187"/>
      <c r="P187"/>
      <c r="Q187"/>
      <c r="R187"/>
      <c r="S187"/>
      <c r="T187"/>
      <c r="U187"/>
      <c r="V187"/>
      <c r="W187"/>
      <c r="X187"/>
      <c r="Y187"/>
      <c r="Z187"/>
      <c r="AA187"/>
    </row>
    <row r="188" spans="8:27" x14ac:dyDescent="0.2">
      <c r="H188"/>
      <c r="P188"/>
      <c r="Q188"/>
      <c r="R188"/>
      <c r="S188"/>
      <c r="T188"/>
      <c r="U188"/>
      <c r="V188"/>
      <c r="W188"/>
      <c r="X188"/>
      <c r="Y188"/>
      <c r="Z188"/>
      <c r="AA188"/>
    </row>
    <row r="189" spans="8:27" x14ac:dyDescent="0.2">
      <c r="H189"/>
      <c r="P189"/>
      <c r="Q189"/>
      <c r="R189"/>
      <c r="S189"/>
      <c r="T189"/>
      <c r="U189"/>
      <c r="V189"/>
      <c r="W189"/>
      <c r="X189"/>
      <c r="Y189"/>
      <c r="Z189"/>
      <c r="AA189"/>
    </row>
    <row r="190" spans="8:27" x14ac:dyDescent="0.2">
      <c r="H190"/>
      <c r="P190"/>
      <c r="Q190"/>
      <c r="R190"/>
      <c r="S190"/>
      <c r="T190"/>
      <c r="U190"/>
      <c r="V190"/>
      <c r="W190"/>
      <c r="X190"/>
      <c r="Y190"/>
      <c r="Z190"/>
      <c r="AA190"/>
    </row>
    <row r="191" spans="8:27" x14ac:dyDescent="0.2">
      <c r="H191"/>
      <c r="P191"/>
      <c r="Q191"/>
      <c r="R191"/>
      <c r="S191"/>
      <c r="T191"/>
      <c r="U191"/>
      <c r="V191"/>
      <c r="W191"/>
      <c r="X191"/>
      <c r="Y191"/>
      <c r="Z191"/>
      <c r="AA191"/>
    </row>
    <row r="192" spans="8:27" x14ac:dyDescent="0.2">
      <c r="H192"/>
      <c r="P192"/>
      <c r="Q192"/>
      <c r="R192"/>
      <c r="S192"/>
      <c r="T192"/>
      <c r="U192"/>
      <c r="V192"/>
      <c r="W192"/>
      <c r="X192"/>
      <c r="Y192"/>
      <c r="Z192"/>
      <c r="AA192"/>
    </row>
    <row r="193" spans="8:27" x14ac:dyDescent="0.2">
      <c r="H193"/>
      <c r="P193"/>
      <c r="Q193"/>
      <c r="R193"/>
      <c r="S193"/>
      <c r="T193"/>
      <c r="U193"/>
      <c r="V193"/>
      <c r="W193"/>
      <c r="X193"/>
      <c r="Y193"/>
      <c r="Z193"/>
      <c r="AA193"/>
    </row>
    <row r="194" spans="8:27" x14ac:dyDescent="0.2">
      <c r="H194"/>
      <c r="P194"/>
      <c r="Q194"/>
      <c r="R194"/>
      <c r="S194"/>
      <c r="T194"/>
      <c r="U194"/>
      <c r="V194"/>
      <c r="W194"/>
      <c r="X194"/>
      <c r="Y194"/>
      <c r="Z194"/>
      <c r="AA194"/>
    </row>
    <row r="195" spans="8:27" x14ac:dyDescent="0.2">
      <c r="H195"/>
      <c r="P195"/>
      <c r="Q195"/>
      <c r="R195"/>
      <c r="S195"/>
      <c r="T195"/>
      <c r="U195"/>
      <c r="V195"/>
      <c r="W195"/>
      <c r="X195"/>
      <c r="Y195"/>
      <c r="Z195"/>
      <c r="AA195"/>
    </row>
    <row r="196" spans="8:27" x14ac:dyDescent="0.2">
      <c r="H196"/>
      <c r="P196"/>
      <c r="Q196"/>
      <c r="R196"/>
      <c r="S196"/>
      <c r="T196"/>
      <c r="U196"/>
      <c r="V196"/>
      <c r="W196"/>
      <c r="X196"/>
      <c r="Y196"/>
      <c r="Z196"/>
      <c r="AA196"/>
    </row>
    <row r="197" spans="8:27" x14ac:dyDescent="0.2">
      <c r="H197"/>
      <c r="P197"/>
      <c r="Q197"/>
      <c r="R197"/>
      <c r="S197"/>
      <c r="T197"/>
      <c r="U197"/>
      <c r="V197"/>
      <c r="W197"/>
      <c r="X197"/>
      <c r="Y197"/>
      <c r="Z197"/>
      <c r="AA197"/>
    </row>
    <row r="198" spans="8:27" x14ac:dyDescent="0.2">
      <c r="H198"/>
      <c r="P198"/>
      <c r="Q198"/>
      <c r="R198"/>
      <c r="S198"/>
      <c r="T198"/>
      <c r="U198"/>
      <c r="V198"/>
      <c r="W198"/>
      <c r="X198"/>
      <c r="Y198"/>
      <c r="Z198"/>
      <c r="AA198"/>
    </row>
    <row r="199" spans="8:27" x14ac:dyDescent="0.2">
      <c r="H199"/>
      <c r="P199"/>
      <c r="Q199"/>
      <c r="R199"/>
      <c r="S199"/>
      <c r="T199"/>
      <c r="U199"/>
      <c r="V199"/>
      <c r="W199"/>
      <c r="X199"/>
      <c r="Y199"/>
      <c r="Z199"/>
      <c r="AA199"/>
    </row>
    <row r="200" spans="8:27" x14ac:dyDescent="0.2">
      <c r="H200"/>
      <c r="P200"/>
      <c r="Q200"/>
      <c r="R200"/>
      <c r="S200"/>
      <c r="T200"/>
      <c r="U200"/>
      <c r="V200"/>
      <c r="W200"/>
      <c r="X200"/>
      <c r="Y200"/>
      <c r="Z200"/>
      <c r="AA200"/>
    </row>
    <row r="201" spans="8:27" x14ac:dyDescent="0.2">
      <c r="H201"/>
      <c r="P201"/>
      <c r="Q201"/>
      <c r="R201"/>
      <c r="S201"/>
      <c r="T201"/>
      <c r="U201"/>
      <c r="V201"/>
      <c r="W201"/>
      <c r="X201"/>
      <c r="Y201"/>
      <c r="Z201"/>
      <c r="AA201"/>
    </row>
    <row r="202" spans="8:27" x14ac:dyDescent="0.2">
      <c r="H202"/>
      <c r="P202"/>
      <c r="Q202"/>
      <c r="R202"/>
      <c r="S202"/>
      <c r="T202"/>
      <c r="U202"/>
      <c r="V202"/>
      <c r="W202"/>
      <c r="X202"/>
      <c r="Y202"/>
      <c r="Z202"/>
      <c r="AA202"/>
    </row>
    <row r="203" spans="8:27" x14ac:dyDescent="0.2">
      <c r="H203"/>
      <c r="P203"/>
      <c r="Q203"/>
      <c r="R203"/>
      <c r="S203"/>
      <c r="T203"/>
      <c r="U203"/>
      <c r="V203"/>
      <c r="W203"/>
      <c r="X203"/>
      <c r="Y203"/>
      <c r="Z203"/>
      <c r="AA203"/>
    </row>
    <row r="204" spans="8:27" x14ac:dyDescent="0.2">
      <c r="H204"/>
      <c r="P204"/>
      <c r="Q204"/>
      <c r="R204"/>
      <c r="S204"/>
      <c r="T204"/>
      <c r="U204"/>
      <c r="V204"/>
      <c r="W204"/>
      <c r="X204"/>
      <c r="Y204"/>
      <c r="Z204"/>
      <c r="AA204"/>
    </row>
    <row r="205" spans="8:27" x14ac:dyDescent="0.2">
      <c r="H205"/>
      <c r="P205"/>
      <c r="Q205"/>
      <c r="R205"/>
      <c r="S205"/>
      <c r="T205"/>
      <c r="U205"/>
      <c r="V205"/>
      <c r="W205"/>
      <c r="X205"/>
      <c r="Y205"/>
      <c r="Z205"/>
      <c r="AA205"/>
    </row>
    <row r="206" spans="8:27" x14ac:dyDescent="0.2">
      <c r="H206"/>
      <c r="P206"/>
      <c r="Q206"/>
      <c r="R206"/>
      <c r="S206"/>
      <c r="T206"/>
      <c r="U206"/>
      <c r="V206"/>
      <c r="W206"/>
      <c r="X206"/>
      <c r="Y206"/>
      <c r="Z206"/>
      <c r="AA206"/>
    </row>
    <row r="207" spans="8:27" x14ac:dyDescent="0.2">
      <c r="P207"/>
      <c r="Q207"/>
      <c r="R207"/>
      <c r="S207"/>
      <c r="T207"/>
      <c r="U207"/>
      <c r="V207"/>
      <c r="W207"/>
      <c r="X207"/>
      <c r="Y207"/>
      <c r="Z207"/>
      <c r="AA207"/>
    </row>
    <row r="208" spans="8:27" x14ac:dyDescent="0.2">
      <c r="P208"/>
      <c r="Q208"/>
      <c r="R208"/>
      <c r="S208"/>
      <c r="T208"/>
      <c r="U208"/>
      <c r="V208"/>
      <c r="W208"/>
      <c r="X208"/>
      <c r="Y208"/>
      <c r="Z208"/>
      <c r="AA208"/>
    </row>
    <row r="209" spans="16:27" x14ac:dyDescent="0.2">
      <c r="P209"/>
      <c r="Q209"/>
      <c r="R209"/>
      <c r="S209"/>
      <c r="T209"/>
      <c r="U209"/>
      <c r="V209"/>
      <c r="W209"/>
      <c r="X209"/>
      <c r="Y209"/>
      <c r="Z209"/>
      <c r="AA209"/>
    </row>
    <row r="210" spans="16:27" x14ac:dyDescent="0.2">
      <c r="P210"/>
      <c r="Q210"/>
      <c r="R210"/>
      <c r="S210"/>
      <c r="T210"/>
      <c r="U210"/>
      <c r="V210"/>
      <c r="W210"/>
      <c r="X210"/>
      <c r="Y210"/>
      <c r="Z210"/>
      <c r="AA210"/>
    </row>
    <row r="211" spans="16:27" x14ac:dyDescent="0.2">
      <c r="P211"/>
      <c r="Q211"/>
      <c r="R211"/>
      <c r="S211"/>
      <c r="T211"/>
      <c r="U211"/>
      <c r="V211"/>
      <c r="W211"/>
      <c r="X211"/>
      <c r="Y211"/>
      <c r="Z211"/>
      <c r="AA211"/>
    </row>
    <row r="212" spans="16:27" x14ac:dyDescent="0.2">
      <c r="P212"/>
      <c r="Q212"/>
      <c r="R212"/>
      <c r="S212"/>
      <c r="T212"/>
      <c r="U212"/>
      <c r="V212"/>
      <c r="W212"/>
      <c r="X212"/>
      <c r="Y212"/>
      <c r="Z212"/>
      <c r="AA212"/>
    </row>
    <row r="213" spans="16:27" x14ac:dyDescent="0.2">
      <c r="P213"/>
      <c r="Q213"/>
      <c r="R213"/>
      <c r="S213"/>
      <c r="T213"/>
      <c r="U213"/>
      <c r="V213"/>
      <c r="W213"/>
      <c r="X213"/>
      <c r="Y213"/>
      <c r="Z213"/>
      <c r="AA213"/>
    </row>
    <row r="214" spans="16:27" x14ac:dyDescent="0.2">
      <c r="P214"/>
      <c r="Q214"/>
      <c r="R214"/>
      <c r="S214"/>
      <c r="T214"/>
      <c r="U214"/>
      <c r="V214"/>
      <c r="W214"/>
      <c r="X214"/>
      <c r="Y214"/>
      <c r="Z214"/>
      <c r="AA214"/>
    </row>
    <row r="215" spans="16:27" x14ac:dyDescent="0.2">
      <c r="P215"/>
      <c r="Q215"/>
      <c r="R215"/>
      <c r="S215"/>
      <c r="T215"/>
      <c r="U215"/>
      <c r="V215"/>
      <c r="W215"/>
      <c r="X215"/>
      <c r="Y215"/>
      <c r="Z215"/>
      <c r="AA215"/>
    </row>
    <row r="216" spans="16:27" x14ac:dyDescent="0.2">
      <c r="P216"/>
      <c r="Q216"/>
      <c r="R216"/>
      <c r="S216"/>
      <c r="T216"/>
      <c r="U216"/>
      <c r="V216"/>
      <c r="W216"/>
      <c r="X216"/>
      <c r="Y216"/>
      <c r="Z216"/>
      <c r="AA216"/>
    </row>
  </sheetData>
  <pageMargins left="0.7" right="0.7" top="0.75" bottom="0.75" header="0.3" footer="0.3"/>
  <pageSetup paperSize="9" orientation="portrait" horizontalDpi="200" verticalDpi="200" r:id="rId9"/>
  <drawing r:id="rId1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U51"/>
  <sheetViews>
    <sheetView topLeftCell="A7" zoomScale="62" zoomScaleNormal="62" workbookViewId="0">
      <selection activeCell="S20" sqref="S20"/>
    </sheetView>
  </sheetViews>
  <sheetFormatPr baseColWidth="10" defaultColWidth="11" defaultRowHeight="14.25" x14ac:dyDescent="0.2"/>
  <cols>
    <col min="1" max="16384" width="11" style="50"/>
  </cols>
  <sheetData>
    <row r="1" spans="1:21" x14ac:dyDescent="0.2">
      <c r="A1" s="51"/>
      <c r="B1" s="52"/>
      <c r="C1" s="52"/>
      <c r="D1" s="52"/>
      <c r="E1" s="52"/>
      <c r="F1" s="52"/>
      <c r="G1" s="52"/>
      <c r="H1" s="52"/>
      <c r="I1" s="52"/>
      <c r="J1" s="52"/>
      <c r="K1" s="52"/>
      <c r="L1" s="52"/>
      <c r="M1" s="52"/>
      <c r="N1" s="52"/>
      <c r="O1" s="52"/>
      <c r="P1" s="52"/>
      <c r="Q1" s="52"/>
      <c r="R1" s="52"/>
      <c r="S1" s="52"/>
      <c r="T1" s="52"/>
      <c r="U1" s="53"/>
    </row>
    <row r="2" spans="1:21" x14ac:dyDescent="0.2">
      <c r="A2" s="54"/>
      <c r="B2" s="55"/>
      <c r="C2" s="55"/>
      <c r="D2" s="55"/>
      <c r="E2" s="55"/>
      <c r="F2" s="55"/>
      <c r="G2" s="55"/>
      <c r="H2" s="55"/>
      <c r="I2" s="55"/>
      <c r="J2" s="55"/>
      <c r="K2" s="55"/>
      <c r="L2" s="55"/>
      <c r="M2" s="55"/>
      <c r="N2" s="55"/>
      <c r="O2" s="55"/>
      <c r="P2" s="55"/>
      <c r="Q2" s="55"/>
      <c r="R2" s="55"/>
      <c r="S2" s="55"/>
      <c r="T2" s="55"/>
      <c r="U2" s="56"/>
    </row>
    <row r="3" spans="1:21" x14ac:dyDescent="0.2">
      <c r="A3" s="54"/>
      <c r="B3" s="55"/>
      <c r="C3" s="55"/>
      <c r="D3" s="55"/>
      <c r="E3" s="55"/>
      <c r="F3" s="55"/>
      <c r="G3" s="55"/>
      <c r="H3" s="55"/>
      <c r="I3" s="55"/>
      <c r="J3" s="55"/>
      <c r="K3" s="55"/>
      <c r="L3" s="55"/>
      <c r="M3" s="55"/>
      <c r="N3" s="55"/>
      <c r="O3" s="55"/>
      <c r="P3" s="55"/>
      <c r="Q3" s="55"/>
      <c r="R3" s="55"/>
      <c r="S3" s="55"/>
      <c r="T3" s="55"/>
      <c r="U3" s="56"/>
    </row>
    <row r="4" spans="1:21" x14ac:dyDescent="0.2">
      <c r="A4" s="54"/>
      <c r="B4" s="55"/>
      <c r="C4" s="55"/>
      <c r="D4" s="55"/>
      <c r="E4" s="55"/>
      <c r="F4" s="55"/>
      <c r="G4" s="55"/>
      <c r="H4" s="55"/>
      <c r="I4" s="55"/>
      <c r="J4" s="55"/>
      <c r="K4" s="55"/>
      <c r="L4" s="55"/>
      <c r="M4" s="55"/>
      <c r="N4" s="55"/>
      <c r="O4" s="55"/>
      <c r="P4" s="55"/>
      <c r="Q4" s="55"/>
      <c r="R4" s="55"/>
      <c r="S4" s="55"/>
      <c r="T4" s="55"/>
      <c r="U4" s="56"/>
    </row>
    <row r="5" spans="1:21" x14ac:dyDescent="0.2">
      <c r="A5" s="54"/>
      <c r="B5" s="55"/>
      <c r="C5" s="55"/>
      <c r="D5" s="55"/>
      <c r="E5" s="55"/>
      <c r="F5" s="55"/>
      <c r="G5" s="55"/>
      <c r="H5" s="57"/>
      <c r="I5" s="55"/>
      <c r="J5" s="55"/>
      <c r="K5" s="55"/>
      <c r="L5" s="55"/>
      <c r="M5" s="55"/>
      <c r="N5" s="55"/>
      <c r="O5" s="55"/>
      <c r="P5" s="55"/>
      <c r="Q5" s="55"/>
      <c r="R5" s="55"/>
      <c r="S5" s="55"/>
      <c r="T5" s="55"/>
      <c r="U5" s="56"/>
    </row>
    <row r="6" spans="1:21" x14ac:dyDescent="0.2">
      <c r="A6" s="54"/>
      <c r="B6" s="55"/>
      <c r="C6" s="55"/>
      <c r="D6" s="55"/>
      <c r="E6" s="55"/>
      <c r="F6" s="55"/>
      <c r="G6" s="55"/>
      <c r="H6" s="55"/>
      <c r="I6" s="55"/>
      <c r="J6" s="55"/>
      <c r="K6" s="55"/>
      <c r="L6" s="55"/>
      <c r="M6" s="55"/>
      <c r="N6" s="55"/>
      <c r="O6" s="55"/>
      <c r="P6" s="55"/>
      <c r="Q6" s="55"/>
      <c r="R6" s="55"/>
      <c r="S6" s="55"/>
      <c r="T6" s="55"/>
      <c r="U6" s="56"/>
    </row>
    <row r="7" spans="1:21" x14ac:dyDescent="0.2">
      <c r="A7" s="54"/>
      <c r="B7" s="55"/>
      <c r="C7" s="55"/>
      <c r="D7" s="55"/>
      <c r="E7" s="55"/>
      <c r="F7" s="55"/>
      <c r="G7" s="55"/>
      <c r="H7" s="55"/>
      <c r="I7" s="55"/>
      <c r="J7" s="55"/>
      <c r="K7" s="55"/>
      <c r="L7" s="55"/>
      <c r="M7" s="55"/>
      <c r="N7" s="55"/>
      <c r="O7" s="55"/>
      <c r="P7" s="55"/>
      <c r="Q7" s="55"/>
      <c r="R7" s="55"/>
      <c r="S7" s="55"/>
      <c r="T7" s="55"/>
      <c r="U7" s="56"/>
    </row>
    <row r="8" spans="1:21" x14ac:dyDescent="0.2">
      <c r="A8" s="54"/>
      <c r="B8" s="55"/>
      <c r="C8" s="55"/>
      <c r="D8" s="55"/>
      <c r="E8" s="55"/>
      <c r="F8" s="55"/>
      <c r="G8" s="55"/>
      <c r="H8" s="55"/>
      <c r="I8" s="55"/>
      <c r="J8" s="55"/>
      <c r="K8" s="55"/>
      <c r="L8" s="55"/>
      <c r="M8" s="55"/>
      <c r="N8" s="55"/>
      <c r="O8" s="55"/>
      <c r="P8" s="55"/>
      <c r="Q8" s="55"/>
      <c r="R8" s="55"/>
      <c r="S8" s="55"/>
      <c r="T8" s="55"/>
      <c r="U8" s="56"/>
    </row>
    <row r="9" spans="1:21" x14ac:dyDescent="0.2">
      <c r="A9" s="54"/>
      <c r="B9" s="55"/>
      <c r="C9" s="55"/>
      <c r="D9" s="55"/>
      <c r="E9" s="55"/>
      <c r="F9" s="55"/>
      <c r="G9" s="55"/>
      <c r="H9" s="55"/>
      <c r="I9" s="55"/>
      <c r="J9" s="55"/>
      <c r="K9" s="55"/>
      <c r="L9" s="55"/>
      <c r="M9" s="55"/>
      <c r="N9" s="55"/>
      <c r="O9" s="55"/>
      <c r="P9" s="55"/>
      <c r="Q9" s="55"/>
      <c r="R9" s="55"/>
      <c r="S9" s="55"/>
      <c r="T9" s="55"/>
      <c r="U9" s="56"/>
    </row>
    <row r="10" spans="1:21" x14ac:dyDescent="0.2">
      <c r="A10" s="54"/>
      <c r="B10" s="55"/>
      <c r="C10" s="55"/>
      <c r="D10" s="55"/>
      <c r="E10" s="55"/>
      <c r="F10" s="55"/>
      <c r="G10" s="55"/>
      <c r="H10" s="55"/>
      <c r="I10" s="55"/>
      <c r="J10" s="55"/>
      <c r="K10" s="55"/>
      <c r="L10" s="55"/>
      <c r="M10" s="55"/>
      <c r="N10" s="55"/>
      <c r="O10" s="55"/>
      <c r="P10" s="55"/>
      <c r="Q10" s="55"/>
      <c r="R10" s="55"/>
      <c r="S10" s="55"/>
      <c r="T10" s="55"/>
      <c r="U10" s="56"/>
    </row>
    <row r="11" spans="1:21" x14ac:dyDescent="0.2">
      <c r="A11" s="54"/>
      <c r="B11" s="55"/>
      <c r="C11" s="55"/>
      <c r="D11" s="55"/>
      <c r="E11" s="55"/>
      <c r="F11" s="55"/>
      <c r="G11" s="55"/>
      <c r="H11" s="55"/>
      <c r="I11" s="55"/>
      <c r="J11" s="55"/>
      <c r="K11" s="55"/>
      <c r="L11" s="55"/>
      <c r="M11" s="55"/>
      <c r="N11" s="55"/>
      <c r="O11" s="55"/>
      <c r="P11" s="55"/>
      <c r="Q11" s="55"/>
      <c r="R11" s="55"/>
      <c r="S11" s="55"/>
      <c r="T11" s="55"/>
      <c r="U11" s="56"/>
    </row>
    <row r="12" spans="1:21" x14ac:dyDescent="0.2">
      <c r="A12" s="54"/>
      <c r="B12" s="55"/>
      <c r="C12" s="55"/>
      <c r="D12" s="55"/>
      <c r="E12" s="55"/>
      <c r="F12" s="55"/>
      <c r="G12" s="55"/>
      <c r="H12" s="55"/>
      <c r="I12" s="55"/>
      <c r="J12" s="55"/>
      <c r="K12" s="55"/>
      <c r="L12" s="55"/>
      <c r="M12" s="55"/>
      <c r="N12" s="55"/>
      <c r="O12" s="55"/>
      <c r="P12" s="55"/>
      <c r="Q12" s="55"/>
      <c r="R12" s="55"/>
      <c r="S12" s="55"/>
      <c r="T12" s="55"/>
      <c r="U12" s="56"/>
    </row>
    <row r="13" spans="1:21" x14ac:dyDescent="0.2">
      <c r="A13" s="54"/>
      <c r="B13" s="55"/>
      <c r="C13" s="55"/>
      <c r="D13" s="55"/>
      <c r="E13" s="55"/>
      <c r="F13" s="55"/>
      <c r="G13" s="55"/>
      <c r="H13" s="55"/>
      <c r="I13" s="55"/>
      <c r="J13" s="55"/>
      <c r="K13" s="55"/>
      <c r="L13" s="55"/>
      <c r="M13" s="55"/>
      <c r="N13" s="55"/>
      <c r="O13" s="55"/>
      <c r="P13" s="55"/>
      <c r="Q13" s="55"/>
      <c r="R13" s="55"/>
      <c r="S13" s="55"/>
      <c r="T13" s="55"/>
      <c r="U13" s="56"/>
    </row>
    <row r="14" spans="1:21" x14ac:dyDescent="0.2">
      <c r="A14" s="54"/>
      <c r="B14" s="55"/>
      <c r="C14" s="55"/>
      <c r="D14" s="55"/>
      <c r="E14" s="55"/>
      <c r="F14" s="55"/>
      <c r="G14" s="55"/>
      <c r="H14" s="55"/>
      <c r="I14" s="55"/>
      <c r="J14" s="55"/>
      <c r="K14" s="55"/>
      <c r="L14" s="55"/>
      <c r="M14" s="55"/>
      <c r="N14" s="55"/>
      <c r="O14" s="55"/>
      <c r="P14" s="55"/>
      <c r="Q14" s="55"/>
      <c r="R14" s="55"/>
      <c r="S14" s="55"/>
      <c r="T14" s="55"/>
      <c r="U14" s="56"/>
    </row>
    <row r="15" spans="1:21" x14ac:dyDescent="0.2">
      <c r="A15" s="54"/>
      <c r="B15" s="55"/>
      <c r="C15" s="55"/>
      <c r="D15" s="55"/>
      <c r="E15" s="55"/>
      <c r="F15" s="55"/>
      <c r="G15" s="55"/>
      <c r="H15" s="55"/>
      <c r="I15" s="55"/>
      <c r="J15" s="55"/>
      <c r="K15" s="55"/>
      <c r="L15" s="55"/>
      <c r="M15" s="55"/>
      <c r="N15" s="55"/>
      <c r="O15" s="55"/>
      <c r="P15" s="55"/>
      <c r="Q15" s="55"/>
      <c r="R15" s="55"/>
      <c r="S15" s="55"/>
      <c r="T15" s="55"/>
      <c r="U15" s="56"/>
    </row>
    <row r="16" spans="1:21" x14ac:dyDescent="0.2">
      <c r="A16" s="54"/>
      <c r="B16" s="55"/>
      <c r="C16" s="55"/>
      <c r="D16" s="55"/>
      <c r="E16" s="55"/>
      <c r="F16" s="55"/>
      <c r="G16" s="55"/>
      <c r="H16" s="55"/>
      <c r="I16" s="55"/>
      <c r="J16" s="55"/>
      <c r="K16" s="55"/>
      <c r="L16" s="55"/>
      <c r="M16" s="55"/>
      <c r="N16" s="55"/>
      <c r="O16" s="55"/>
      <c r="P16" s="55"/>
      <c r="Q16" s="55"/>
      <c r="R16" s="55"/>
      <c r="S16" s="55"/>
      <c r="T16" s="55"/>
      <c r="U16" s="56"/>
    </row>
    <row r="17" spans="1:21" x14ac:dyDescent="0.2">
      <c r="A17" s="54"/>
      <c r="B17" s="55"/>
      <c r="C17" s="55"/>
      <c r="D17" s="55"/>
      <c r="E17" s="55"/>
      <c r="F17" s="55"/>
      <c r="G17" s="55"/>
      <c r="H17" s="55"/>
      <c r="I17" s="55"/>
      <c r="J17" s="55"/>
      <c r="K17" s="55"/>
      <c r="L17" s="55"/>
      <c r="M17" s="55"/>
      <c r="N17" s="55"/>
      <c r="O17" s="55"/>
      <c r="P17" s="55"/>
      <c r="Q17" s="55"/>
      <c r="R17" s="55"/>
      <c r="S17" s="55"/>
      <c r="T17" s="55"/>
      <c r="U17" s="56"/>
    </row>
    <row r="18" spans="1:21" x14ac:dyDescent="0.2">
      <c r="A18" s="54"/>
      <c r="B18" s="55"/>
      <c r="C18" s="55"/>
      <c r="D18" s="55"/>
      <c r="E18" s="55"/>
      <c r="F18" s="55"/>
      <c r="G18" s="55"/>
      <c r="H18" s="55"/>
      <c r="I18" s="55"/>
      <c r="J18" s="55"/>
      <c r="K18" s="55"/>
      <c r="L18" s="55"/>
      <c r="M18" s="55"/>
      <c r="N18" s="55"/>
      <c r="O18" s="55"/>
      <c r="P18" s="55"/>
      <c r="Q18" s="55"/>
      <c r="R18" s="55"/>
      <c r="S18" s="55"/>
      <c r="T18" s="55"/>
      <c r="U18" s="56"/>
    </row>
    <row r="19" spans="1:21" x14ac:dyDescent="0.2">
      <c r="A19" s="54"/>
      <c r="B19" s="55"/>
      <c r="C19" s="55"/>
      <c r="D19" s="55"/>
      <c r="E19" s="55"/>
      <c r="F19" s="55"/>
      <c r="G19" s="55"/>
      <c r="H19" s="55"/>
      <c r="I19" s="55"/>
      <c r="J19" s="55"/>
      <c r="K19" s="55"/>
      <c r="L19" s="55"/>
      <c r="M19" s="55"/>
      <c r="N19" s="55"/>
      <c r="O19" s="55"/>
      <c r="P19" s="55"/>
      <c r="Q19" s="55"/>
      <c r="R19" s="55"/>
      <c r="S19" s="55"/>
      <c r="T19" s="55"/>
      <c r="U19" s="56"/>
    </row>
    <row r="20" spans="1:21" x14ac:dyDescent="0.2">
      <c r="A20" s="54"/>
      <c r="B20" s="55"/>
      <c r="C20" s="55"/>
      <c r="D20" s="55"/>
      <c r="E20" s="55"/>
      <c r="F20" s="55"/>
      <c r="G20" s="55"/>
      <c r="H20" s="55"/>
      <c r="I20" s="55"/>
      <c r="J20" s="55"/>
      <c r="K20" s="55"/>
      <c r="L20" s="55"/>
      <c r="M20" s="55"/>
      <c r="N20" s="55"/>
      <c r="O20" s="55"/>
      <c r="P20" s="55"/>
      <c r="Q20" s="55"/>
      <c r="R20" s="55"/>
      <c r="S20" s="55"/>
      <c r="T20" s="55"/>
      <c r="U20" s="56"/>
    </row>
    <row r="21" spans="1:21" x14ac:dyDescent="0.2">
      <c r="A21" s="54"/>
      <c r="B21" s="55"/>
      <c r="C21" s="55"/>
      <c r="D21" s="55"/>
      <c r="E21" s="55"/>
      <c r="F21" s="55"/>
      <c r="G21" s="55"/>
      <c r="H21" s="55"/>
      <c r="I21" s="55"/>
      <c r="J21" s="55"/>
      <c r="K21" s="55"/>
      <c r="L21" s="55"/>
      <c r="M21" s="55"/>
      <c r="N21" s="55"/>
      <c r="O21" s="55"/>
      <c r="P21" s="55"/>
      <c r="Q21" s="55"/>
      <c r="R21" s="55"/>
      <c r="S21" s="55"/>
      <c r="T21" s="55"/>
      <c r="U21" s="56"/>
    </row>
    <row r="22" spans="1:21" x14ac:dyDescent="0.2">
      <c r="A22" s="54"/>
      <c r="B22" s="55"/>
      <c r="C22" s="55"/>
      <c r="D22" s="55"/>
      <c r="E22" s="55"/>
      <c r="F22" s="55"/>
      <c r="G22" s="55"/>
      <c r="H22" s="55"/>
      <c r="I22" s="55"/>
      <c r="J22" s="55"/>
      <c r="K22" s="55"/>
      <c r="L22" s="55"/>
      <c r="M22" s="55"/>
      <c r="N22" s="55"/>
      <c r="O22" s="55"/>
      <c r="P22" s="55"/>
      <c r="Q22" s="55"/>
      <c r="R22" s="55"/>
      <c r="S22" s="55"/>
      <c r="T22" s="55"/>
      <c r="U22" s="56"/>
    </row>
    <row r="23" spans="1:21" x14ac:dyDescent="0.2">
      <c r="A23" s="54"/>
      <c r="B23" s="55"/>
      <c r="C23" s="55"/>
      <c r="D23" s="55"/>
      <c r="E23" s="55"/>
      <c r="F23" s="55"/>
      <c r="G23" s="55"/>
      <c r="H23" s="55"/>
      <c r="I23" s="55"/>
      <c r="J23" s="55"/>
      <c r="K23" s="55"/>
      <c r="L23" s="55"/>
      <c r="M23" s="55"/>
      <c r="N23" s="55"/>
      <c r="O23" s="55"/>
      <c r="P23" s="55"/>
      <c r="Q23" s="55"/>
      <c r="R23" s="55"/>
      <c r="S23" s="55"/>
      <c r="T23" s="55"/>
      <c r="U23" s="56"/>
    </row>
    <row r="24" spans="1:21" x14ac:dyDescent="0.2">
      <c r="A24" s="54"/>
      <c r="B24" s="55"/>
      <c r="C24" s="55"/>
      <c r="D24" s="55"/>
      <c r="E24" s="55"/>
      <c r="F24" s="55"/>
      <c r="G24" s="55"/>
      <c r="H24" s="55"/>
      <c r="I24" s="55"/>
      <c r="J24" s="55"/>
      <c r="K24" s="55"/>
      <c r="L24" s="55"/>
      <c r="M24" s="55"/>
      <c r="N24" s="55"/>
      <c r="O24" s="55"/>
      <c r="P24" s="55"/>
      <c r="Q24" s="55"/>
      <c r="R24" s="55"/>
      <c r="S24" s="55"/>
      <c r="T24" s="55"/>
      <c r="U24" s="56"/>
    </row>
    <row r="25" spans="1:21" x14ac:dyDescent="0.2">
      <c r="A25" s="54"/>
      <c r="B25" s="55"/>
      <c r="C25" s="55"/>
      <c r="D25" s="55"/>
      <c r="E25" s="55"/>
      <c r="F25" s="55"/>
      <c r="G25" s="55"/>
      <c r="H25" s="55"/>
      <c r="I25" s="55"/>
      <c r="J25" s="55"/>
      <c r="K25" s="55"/>
      <c r="L25" s="55"/>
      <c r="M25" s="55"/>
      <c r="N25" s="55"/>
      <c r="O25" s="55"/>
      <c r="P25" s="55"/>
      <c r="Q25" s="55"/>
      <c r="R25" s="55"/>
      <c r="S25" s="55"/>
      <c r="T25" s="55"/>
      <c r="U25" s="56"/>
    </row>
    <row r="26" spans="1:21" x14ac:dyDescent="0.2">
      <c r="A26" s="54"/>
      <c r="B26" s="55"/>
      <c r="C26" s="55"/>
      <c r="D26" s="55"/>
      <c r="E26" s="55"/>
      <c r="F26" s="55"/>
      <c r="G26" s="55"/>
      <c r="H26" s="55"/>
      <c r="I26" s="55"/>
      <c r="J26" s="55"/>
      <c r="K26" s="55"/>
      <c r="L26" s="55"/>
      <c r="M26" s="55"/>
      <c r="N26" s="55"/>
      <c r="O26" s="55"/>
      <c r="P26" s="55"/>
      <c r="Q26" s="55"/>
      <c r="R26" s="55"/>
      <c r="S26" s="55"/>
      <c r="T26" s="55"/>
      <c r="U26" s="56"/>
    </row>
    <row r="27" spans="1:21" x14ac:dyDescent="0.2">
      <c r="A27" s="54"/>
      <c r="B27" s="55"/>
      <c r="C27" s="55"/>
      <c r="D27" s="55"/>
      <c r="E27" s="55"/>
      <c r="F27" s="55"/>
      <c r="G27" s="55"/>
      <c r="H27" s="55"/>
      <c r="I27" s="55"/>
      <c r="J27" s="55"/>
      <c r="K27" s="55"/>
      <c r="L27" s="55"/>
      <c r="M27" s="55"/>
      <c r="N27" s="55"/>
      <c r="O27" s="55"/>
      <c r="P27" s="55"/>
      <c r="Q27" s="55"/>
      <c r="R27" s="55"/>
      <c r="S27" s="55"/>
      <c r="T27" s="55"/>
      <c r="U27" s="56"/>
    </row>
    <row r="28" spans="1:21" x14ac:dyDescent="0.2">
      <c r="A28" s="54"/>
      <c r="B28" s="55"/>
      <c r="C28" s="55"/>
      <c r="D28" s="55"/>
      <c r="E28" s="55"/>
      <c r="F28" s="55"/>
      <c r="G28" s="55"/>
      <c r="H28" s="55"/>
      <c r="I28" s="55"/>
      <c r="J28" s="55"/>
      <c r="K28" s="55"/>
      <c r="L28" s="55"/>
      <c r="M28" s="55"/>
      <c r="N28" s="55"/>
      <c r="O28" s="55"/>
      <c r="P28" s="55"/>
      <c r="Q28" s="55"/>
      <c r="R28" s="55"/>
      <c r="S28" s="55"/>
      <c r="T28" s="55"/>
      <c r="U28" s="56"/>
    </row>
    <row r="29" spans="1:21" x14ac:dyDescent="0.2">
      <c r="A29" s="54"/>
      <c r="B29" s="55"/>
      <c r="C29" s="55"/>
      <c r="D29" s="55"/>
      <c r="E29" s="55"/>
      <c r="F29" s="55"/>
      <c r="G29" s="55"/>
      <c r="H29" s="55"/>
      <c r="I29" s="55"/>
      <c r="J29" s="55"/>
      <c r="K29" s="55"/>
      <c r="L29" s="55"/>
      <c r="M29" s="55"/>
      <c r="N29" s="55"/>
      <c r="O29" s="55"/>
      <c r="P29" s="55"/>
      <c r="Q29" s="55"/>
      <c r="R29" s="55"/>
      <c r="S29" s="55"/>
      <c r="T29" s="55"/>
      <c r="U29" s="56"/>
    </row>
    <row r="30" spans="1:21" x14ac:dyDescent="0.2">
      <c r="A30" s="54"/>
      <c r="B30" s="55"/>
      <c r="C30" s="55"/>
      <c r="D30" s="55"/>
      <c r="E30" s="55"/>
      <c r="F30" s="55"/>
      <c r="G30" s="55"/>
      <c r="H30" s="55"/>
      <c r="I30" s="55"/>
      <c r="J30" s="55"/>
      <c r="K30" s="55"/>
      <c r="L30" s="55"/>
      <c r="M30" s="55"/>
      <c r="N30" s="55"/>
      <c r="O30" s="55"/>
      <c r="P30" s="55"/>
      <c r="Q30" s="55"/>
      <c r="R30" s="55"/>
      <c r="S30" s="55"/>
      <c r="T30" s="55"/>
      <c r="U30" s="56"/>
    </row>
    <row r="31" spans="1:21" x14ac:dyDescent="0.2">
      <c r="A31" s="54"/>
      <c r="B31" s="55"/>
      <c r="C31" s="55"/>
      <c r="D31" s="55"/>
      <c r="E31" s="55"/>
      <c r="F31" s="55"/>
      <c r="G31" s="55"/>
      <c r="H31" s="55"/>
      <c r="I31" s="55"/>
      <c r="J31" s="55"/>
      <c r="K31" s="55"/>
      <c r="L31" s="55"/>
      <c r="M31" s="55"/>
      <c r="N31" s="55"/>
      <c r="O31" s="55"/>
      <c r="P31" s="55"/>
      <c r="Q31" s="55"/>
      <c r="R31" s="55"/>
      <c r="S31" s="55"/>
      <c r="T31" s="55"/>
      <c r="U31" s="56"/>
    </row>
    <row r="32" spans="1:21" x14ac:dyDescent="0.2">
      <c r="A32" s="54"/>
      <c r="B32" s="55"/>
      <c r="C32" s="55"/>
      <c r="D32" s="55"/>
      <c r="E32" s="55"/>
      <c r="F32" s="55"/>
      <c r="G32" s="55"/>
      <c r="H32" s="55"/>
      <c r="I32" s="55"/>
      <c r="J32" s="55"/>
      <c r="K32" s="55"/>
      <c r="L32" s="55"/>
      <c r="M32" s="55"/>
      <c r="N32" s="55"/>
      <c r="O32" s="55"/>
      <c r="P32" s="55"/>
      <c r="Q32" s="55"/>
      <c r="R32" s="55"/>
      <c r="S32" s="55"/>
      <c r="T32" s="55"/>
      <c r="U32" s="56"/>
    </row>
    <row r="33" spans="1:21" x14ac:dyDescent="0.2">
      <c r="A33" s="54"/>
      <c r="B33" s="55"/>
      <c r="C33" s="55"/>
      <c r="D33" s="55"/>
      <c r="E33" s="55"/>
      <c r="F33" s="55"/>
      <c r="G33" s="55"/>
      <c r="H33" s="55"/>
      <c r="I33" s="55"/>
      <c r="J33" s="55"/>
      <c r="K33" s="55"/>
      <c r="L33" s="55"/>
      <c r="M33" s="55"/>
      <c r="N33" s="55"/>
      <c r="O33" s="55"/>
      <c r="P33" s="55"/>
      <c r="Q33" s="55"/>
      <c r="R33" s="55"/>
      <c r="S33" s="55" t="s">
        <v>45</v>
      </c>
      <c r="T33" s="55"/>
      <c r="U33" s="56"/>
    </row>
    <row r="34" spans="1:21" x14ac:dyDescent="0.2">
      <c r="A34" s="54"/>
      <c r="B34" s="55"/>
      <c r="C34" s="55"/>
      <c r="D34" s="55"/>
      <c r="E34" s="55"/>
      <c r="F34" s="55"/>
      <c r="G34" s="55"/>
      <c r="H34" s="55"/>
      <c r="I34" s="55"/>
      <c r="J34" s="55"/>
      <c r="K34" s="55"/>
      <c r="L34" s="55"/>
      <c r="M34" s="55"/>
      <c r="N34" s="55"/>
      <c r="O34" s="55"/>
      <c r="P34" s="55"/>
      <c r="Q34" s="55"/>
      <c r="R34" s="55"/>
      <c r="S34" s="55"/>
      <c r="T34" s="55"/>
      <c r="U34" s="56"/>
    </row>
    <row r="35" spans="1:21" x14ac:dyDescent="0.2">
      <c r="A35" s="54"/>
      <c r="B35" s="55"/>
      <c r="C35" s="55"/>
      <c r="D35" s="55"/>
      <c r="E35" s="55"/>
      <c r="F35" s="55"/>
      <c r="G35" s="55"/>
      <c r="H35" s="55"/>
      <c r="I35" s="55"/>
      <c r="J35" s="55"/>
      <c r="K35" s="55"/>
      <c r="L35" s="55"/>
      <c r="M35" s="55"/>
      <c r="N35" s="55"/>
      <c r="O35" s="55"/>
      <c r="P35" s="55"/>
      <c r="Q35" s="55"/>
      <c r="R35" s="55"/>
      <c r="S35" s="55"/>
      <c r="T35" s="55"/>
      <c r="U35" s="56"/>
    </row>
    <row r="36" spans="1:21" x14ac:dyDescent="0.2">
      <c r="A36" s="54"/>
      <c r="B36" s="55"/>
      <c r="C36" s="55"/>
      <c r="D36" s="55"/>
      <c r="E36" s="55"/>
      <c r="F36" s="55"/>
      <c r="G36" s="55"/>
      <c r="H36" s="55"/>
      <c r="I36" s="55"/>
      <c r="J36" s="55"/>
      <c r="K36" s="55"/>
      <c r="L36" s="55"/>
      <c r="M36" s="55"/>
      <c r="N36" s="55"/>
      <c r="O36" s="55"/>
      <c r="P36" s="55"/>
      <c r="Q36" s="55"/>
      <c r="R36" s="55"/>
      <c r="S36" s="55"/>
      <c r="T36" s="55"/>
      <c r="U36" s="56"/>
    </row>
    <row r="37" spans="1:21" x14ac:dyDescent="0.2">
      <c r="A37" s="54"/>
      <c r="B37" s="55"/>
      <c r="C37" s="55"/>
      <c r="D37" s="55"/>
      <c r="E37" s="55"/>
      <c r="F37" s="55"/>
      <c r="G37" s="55"/>
      <c r="H37" s="55"/>
      <c r="I37" s="55"/>
      <c r="J37" s="55"/>
      <c r="K37" s="55"/>
      <c r="L37" s="55"/>
      <c r="M37" s="55"/>
      <c r="N37" s="55"/>
      <c r="O37" s="55"/>
      <c r="P37" s="55"/>
      <c r="Q37" s="55"/>
      <c r="R37" s="55"/>
      <c r="S37" s="55"/>
      <c r="T37" s="55"/>
      <c r="U37" s="56"/>
    </row>
    <row r="38" spans="1:21" x14ac:dyDescent="0.2">
      <c r="A38" s="54"/>
      <c r="B38" s="55"/>
      <c r="C38" s="55"/>
      <c r="D38" s="55"/>
      <c r="E38" s="55"/>
      <c r="F38" s="55"/>
      <c r="G38" s="55"/>
      <c r="H38" s="55"/>
      <c r="I38" s="55"/>
      <c r="J38" s="55"/>
      <c r="K38" s="55"/>
      <c r="L38" s="55"/>
      <c r="M38" s="55"/>
      <c r="N38" s="55"/>
      <c r="O38" s="55"/>
      <c r="P38" s="55"/>
      <c r="Q38" s="55"/>
      <c r="R38" s="55"/>
      <c r="S38" s="55"/>
      <c r="T38" s="55"/>
      <c r="U38" s="56"/>
    </row>
    <row r="39" spans="1:21" x14ac:dyDescent="0.2">
      <c r="A39" s="54"/>
      <c r="B39" s="55"/>
      <c r="C39" s="55"/>
      <c r="D39" s="55"/>
      <c r="E39" s="55"/>
      <c r="F39" s="55"/>
      <c r="G39" s="55"/>
      <c r="H39" s="55"/>
      <c r="I39" s="55"/>
      <c r="J39" s="55"/>
      <c r="K39" s="55"/>
      <c r="L39" s="55"/>
      <c r="M39" s="55"/>
      <c r="N39" s="55"/>
      <c r="O39" s="55"/>
      <c r="P39" s="55"/>
      <c r="Q39" s="55"/>
      <c r="R39" s="55"/>
      <c r="S39" s="55"/>
      <c r="T39" s="55"/>
      <c r="U39" s="56"/>
    </row>
    <row r="40" spans="1:21" x14ac:dyDescent="0.2">
      <c r="A40" s="54"/>
      <c r="B40" s="55"/>
      <c r="C40" s="55"/>
      <c r="D40" s="55"/>
      <c r="E40" s="55"/>
      <c r="F40" s="55"/>
      <c r="G40" s="55"/>
      <c r="H40" s="55"/>
      <c r="I40" s="55"/>
      <c r="J40" s="55"/>
      <c r="K40" s="55"/>
      <c r="L40" s="55"/>
      <c r="M40" s="55"/>
      <c r="N40" s="55"/>
      <c r="O40" s="55"/>
      <c r="P40" s="55"/>
      <c r="Q40" s="55"/>
      <c r="R40" s="55"/>
      <c r="S40" s="55"/>
      <c r="T40" s="55"/>
      <c r="U40" s="56"/>
    </row>
    <row r="41" spans="1:21" x14ac:dyDescent="0.2">
      <c r="A41" s="54"/>
      <c r="B41" s="55"/>
      <c r="C41" s="55"/>
      <c r="D41" s="55"/>
      <c r="E41" s="55"/>
      <c r="F41" s="55"/>
      <c r="G41" s="55"/>
      <c r="H41" s="55"/>
      <c r="I41" s="55"/>
      <c r="J41" s="55"/>
      <c r="K41" s="55"/>
      <c r="L41" s="55"/>
      <c r="M41" s="55"/>
      <c r="N41" s="55"/>
      <c r="O41" s="55"/>
      <c r="P41" s="55"/>
      <c r="Q41" s="55"/>
      <c r="R41" s="55"/>
      <c r="S41" s="55"/>
      <c r="T41" s="55"/>
      <c r="U41" s="56"/>
    </row>
    <row r="42" spans="1:21" x14ac:dyDescent="0.2">
      <c r="A42" s="54"/>
      <c r="B42" s="55"/>
      <c r="C42" s="55"/>
      <c r="D42" s="55"/>
      <c r="E42" s="55"/>
      <c r="F42" s="55"/>
      <c r="G42" s="55"/>
      <c r="H42" s="55"/>
      <c r="I42" s="55"/>
      <c r="J42" s="55"/>
      <c r="K42" s="55"/>
      <c r="L42" s="55"/>
      <c r="M42" s="55"/>
      <c r="N42" s="55"/>
      <c r="O42" s="55"/>
      <c r="P42" s="55"/>
      <c r="Q42" s="55"/>
      <c r="R42" s="55"/>
      <c r="S42" s="55"/>
      <c r="T42" s="55"/>
      <c r="U42" s="56"/>
    </row>
    <row r="43" spans="1:21" x14ac:dyDescent="0.2">
      <c r="A43" s="54"/>
      <c r="B43" s="55"/>
      <c r="C43" s="55"/>
      <c r="D43" s="55"/>
      <c r="E43" s="55"/>
      <c r="F43" s="55"/>
      <c r="G43" s="55"/>
      <c r="H43" s="55"/>
      <c r="I43" s="55"/>
      <c r="J43" s="55"/>
      <c r="K43" s="55"/>
      <c r="L43" s="55"/>
      <c r="M43" s="55"/>
      <c r="N43" s="55"/>
      <c r="O43" s="55"/>
      <c r="P43" s="55"/>
      <c r="Q43" s="55"/>
      <c r="R43" s="55"/>
      <c r="S43" s="55"/>
      <c r="T43" s="55"/>
      <c r="U43" s="56"/>
    </row>
    <row r="44" spans="1:21" x14ac:dyDescent="0.2">
      <c r="A44" s="54"/>
      <c r="B44" s="55"/>
      <c r="C44" s="55"/>
      <c r="D44" s="55"/>
      <c r="E44" s="55"/>
      <c r="F44" s="55"/>
      <c r="G44" s="55"/>
      <c r="H44" s="55"/>
      <c r="I44" s="55"/>
      <c r="J44" s="55"/>
      <c r="K44" s="55"/>
      <c r="L44" s="55"/>
      <c r="M44" s="55"/>
      <c r="N44" s="55"/>
      <c r="O44" s="55"/>
      <c r="P44" s="55"/>
      <c r="Q44" s="55"/>
      <c r="R44" s="55"/>
      <c r="S44" s="55"/>
      <c r="T44" s="55"/>
      <c r="U44" s="56"/>
    </row>
    <row r="45" spans="1:21" x14ac:dyDescent="0.2">
      <c r="A45" s="54"/>
      <c r="B45" s="55"/>
      <c r="C45" s="55"/>
      <c r="D45" s="55"/>
      <c r="E45" s="55"/>
      <c r="F45" s="55"/>
      <c r="G45" s="55"/>
      <c r="H45" s="55"/>
      <c r="I45" s="55"/>
      <c r="J45" s="55"/>
      <c r="K45" s="55"/>
      <c r="L45" s="55"/>
      <c r="M45" s="55"/>
      <c r="N45" s="55"/>
      <c r="O45" s="55"/>
      <c r="P45" s="55"/>
      <c r="Q45" s="55"/>
      <c r="R45" s="55"/>
      <c r="S45" s="55"/>
      <c r="T45" s="55"/>
      <c r="U45" s="56"/>
    </row>
    <row r="46" spans="1:21" x14ac:dyDescent="0.2">
      <c r="A46" s="54"/>
      <c r="B46" s="55"/>
      <c r="C46" s="55"/>
      <c r="D46" s="55"/>
      <c r="E46" s="55"/>
      <c r="F46" s="55"/>
      <c r="G46" s="55"/>
      <c r="H46" s="55"/>
      <c r="I46" s="55"/>
      <c r="J46" s="55"/>
      <c r="K46" s="55"/>
      <c r="L46" s="55"/>
      <c r="M46" s="55"/>
      <c r="N46" s="55"/>
      <c r="O46" s="55"/>
      <c r="P46" s="55"/>
      <c r="Q46" s="55"/>
      <c r="R46" s="55"/>
      <c r="S46" s="55"/>
      <c r="T46" s="55"/>
      <c r="U46" s="56"/>
    </row>
    <row r="47" spans="1:21" x14ac:dyDescent="0.2">
      <c r="A47" s="54"/>
      <c r="B47" s="55"/>
      <c r="C47" s="55"/>
      <c r="D47" s="55"/>
      <c r="E47" s="55"/>
      <c r="F47" s="55"/>
      <c r="G47" s="55"/>
      <c r="H47" s="55"/>
      <c r="I47" s="55"/>
      <c r="J47" s="55"/>
      <c r="K47" s="55"/>
      <c r="L47" s="55"/>
      <c r="M47" s="55"/>
      <c r="N47" s="55"/>
      <c r="O47" s="55"/>
      <c r="P47" s="55"/>
      <c r="Q47" s="55"/>
      <c r="R47" s="55"/>
      <c r="S47" s="55"/>
      <c r="T47" s="55"/>
      <c r="U47" s="56"/>
    </row>
    <row r="48" spans="1:21" x14ac:dyDescent="0.2">
      <c r="A48" s="54"/>
      <c r="B48" s="55"/>
      <c r="C48" s="55"/>
      <c r="D48" s="55"/>
      <c r="E48" s="55"/>
      <c r="F48" s="55"/>
      <c r="G48" s="55"/>
      <c r="H48" s="55"/>
      <c r="I48" s="55"/>
      <c r="J48" s="55"/>
      <c r="K48" s="55"/>
      <c r="L48" s="55"/>
      <c r="M48" s="55"/>
      <c r="N48" s="55"/>
      <c r="O48" s="55"/>
      <c r="P48" s="55"/>
      <c r="Q48" s="55"/>
      <c r="R48" s="55"/>
      <c r="S48" s="55"/>
      <c r="T48" s="55"/>
      <c r="U48" s="56"/>
    </row>
    <row r="49" spans="1:21" x14ac:dyDescent="0.2">
      <c r="A49" s="54"/>
      <c r="B49" s="55"/>
      <c r="C49" s="55"/>
      <c r="D49" s="55"/>
      <c r="E49" s="55"/>
      <c r="F49" s="55"/>
      <c r="G49" s="55"/>
      <c r="H49" s="55"/>
      <c r="I49" s="55"/>
      <c r="J49" s="55"/>
      <c r="K49" s="55"/>
      <c r="L49" s="55"/>
      <c r="M49" s="55"/>
      <c r="N49" s="55"/>
      <c r="O49" s="55"/>
      <c r="P49" s="55"/>
      <c r="Q49" s="55"/>
      <c r="R49" s="55"/>
      <c r="S49" s="55"/>
      <c r="T49" s="55"/>
      <c r="U49" s="56"/>
    </row>
    <row r="50" spans="1:21" x14ac:dyDescent="0.2">
      <c r="A50" s="54"/>
      <c r="B50" s="55"/>
      <c r="C50" s="55"/>
      <c r="D50" s="55"/>
      <c r="E50" s="55"/>
      <c r="F50" s="55"/>
      <c r="G50" s="55"/>
      <c r="H50" s="55"/>
      <c r="I50" s="55"/>
      <c r="J50" s="55"/>
      <c r="K50" s="55"/>
      <c r="L50" s="55"/>
      <c r="M50" s="55"/>
      <c r="N50" s="55"/>
      <c r="O50" s="55"/>
      <c r="P50" s="55"/>
      <c r="Q50" s="55"/>
      <c r="R50" s="55"/>
      <c r="S50" s="55"/>
      <c r="T50" s="55"/>
      <c r="U50" s="56"/>
    </row>
    <row r="51" spans="1:21" x14ac:dyDescent="0.2">
      <c r="A51" s="58"/>
      <c r="B51" s="59"/>
      <c r="C51" s="59"/>
      <c r="D51" s="59"/>
      <c r="E51" s="59"/>
      <c r="F51" s="59"/>
      <c r="G51" s="59"/>
      <c r="H51" s="59"/>
      <c r="I51" s="59"/>
      <c r="J51" s="59"/>
      <c r="K51" s="59"/>
      <c r="L51" s="59"/>
      <c r="M51" s="59"/>
      <c r="N51" s="59"/>
      <c r="O51" s="59"/>
      <c r="P51" s="59"/>
      <c r="Q51" s="59"/>
      <c r="R51" s="59"/>
      <c r="S51" s="59"/>
      <c r="T51" s="59"/>
      <c r="U51" s="60"/>
    </row>
  </sheetData>
  <pageMargins left="0.7" right="0.7" top="0.75" bottom="0.75" header="0.3" footer="0.3"/>
  <pageSetup paperSize="9"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acro2">
                <anchor moveWithCells="1" sizeWithCells="1">
                  <from>
                    <xdr:col>18</xdr:col>
                    <xdr:colOff>333375</xdr:colOff>
                    <xdr:row>16</xdr:row>
                    <xdr:rowOff>152400</xdr:rowOff>
                  </from>
                  <to>
                    <xdr:col>20</xdr:col>
                    <xdr:colOff>342900</xdr:colOff>
                    <xdr:row>20</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dimension ref="A1:AI838"/>
  <sheetViews>
    <sheetView tabSelected="1" zoomScale="85" zoomScaleNormal="85" workbookViewId="0">
      <pane xSplit="5" ySplit="1" topLeftCell="F221" activePane="bottomRight" state="frozen"/>
      <selection pane="topRight" activeCell="F1" sqref="F1"/>
      <selection pane="bottomLeft" activeCell="A2" sqref="A2"/>
      <selection pane="bottomRight" activeCell="K233" sqref="K233"/>
    </sheetView>
  </sheetViews>
  <sheetFormatPr baseColWidth="10" defaultColWidth="12.625" defaultRowHeight="15" customHeight="1" x14ac:dyDescent="0.2"/>
  <cols>
    <col min="1" max="1" width="6.125" style="1" customWidth="1"/>
    <col min="2" max="2" width="9" style="1" customWidth="1"/>
    <col min="3" max="3" width="5.75" style="1" customWidth="1"/>
    <col min="4" max="4" width="4.625" style="1" customWidth="1"/>
    <col min="5" max="5" width="16.5" style="1" customWidth="1"/>
    <col min="6" max="6" width="16.375" style="1" customWidth="1"/>
    <col min="7" max="7" width="16.625" style="1" customWidth="1"/>
    <col min="8" max="8" width="14.25" style="1" customWidth="1"/>
    <col min="9" max="9" width="14.125" style="1" customWidth="1"/>
    <col min="10" max="10" width="15" style="1" customWidth="1"/>
    <col min="11" max="11" width="17.625" style="1" customWidth="1"/>
    <col min="12" max="12" width="16.75" style="1" customWidth="1"/>
    <col min="13" max="13" width="12.375" style="1" customWidth="1"/>
    <col min="14" max="14" width="10.75" style="1" customWidth="1"/>
    <col min="15" max="15" width="11.25" style="1" customWidth="1"/>
    <col min="16" max="16" width="10" style="1" customWidth="1"/>
    <col min="17" max="20" width="6.5" style="1" customWidth="1"/>
    <col min="21" max="21" width="12.125" style="1" customWidth="1"/>
    <col min="22" max="22" width="16.375" style="1" customWidth="1"/>
    <col min="23" max="23" width="12.125" style="1" customWidth="1"/>
    <col min="24" max="24" width="11.375" style="1" customWidth="1"/>
    <col min="25" max="25" width="11.5" style="1" customWidth="1"/>
    <col min="26" max="26" width="12.625" style="1" customWidth="1"/>
    <col min="27" max="28" width="10.125" style="1" customWidth="1"/>
    <col min="29" max="29" width="9.5" style="1" hidden="1" customWidth="1"/>
    <col min="30" max="30" width="7.625" style="1" hidden="1" customWidth="1"/>
    <col min="31" max="31" width="7.125" style="1" hidden="1" customWidth="1"/>
    <col min="32" max="33" width="7.375" style="1" hidden="1" customWidth="1"/>
    <col min="34" max="34" width="10.125" style="1" hidden="1" customWidth="1"/>
    <col min="35" max="42" width="10.125" style="1" customWidth="1"/>
    <col min="43" max="16384" width="12.625" style="1"/>
  </cols>
  <sheetData>
    <row r="1" spans="1:35" ht="43.5" customHeight="1" x14ac:dyDescent="0.2">
      <c r="A1" s="10" t="s">
        <v>20</v>
      </c>
      <c r="B1" s="11" t="s">
        <v>21</v>
      </c>
      <c r="C1" s="10" t="s">
        <v>0</v>
      </c>
      <c r="D1" s="12" t="s">
        <v>22</v>
      </c>
      <c r="E1" s="13" t="s">
        <v>1</v>
      </c>
      <c r="F1" s="13" t="s">
        <v>16</v>
      </c>
      <c r="G1" s="13" t="s">
        <v>14</v>
      </c>
      <c r="H1" s="13" t="s">
        <v>5</v>
      </c>
      <c r="I1" s="13" t="s">
        <v>15</v>
      </c>
      <c r="J1" s="13" t="s">
        <v>17</v>
      </c>
      <c r="K1" s="14" t="s">
        <v>11</v>
      </c>
      <c r="L1" s="13" t="s">
        <v>10</v>
      </c>
      <c r="M1" s="13" t="s">
        <v>2</v>
      </c>
      <c r="N1" s="13" t="s">
        <v>12</v>
      </c>
      <c r="O1" s="13" t="s">
        <v>13</v>
      </c>
      <c r="P1" s="13" t="s">
        <v>46</v>
      </c>
      <c r="Q1" s="13" t="s">
        <v>18</v>
      </c>
      <c r="R1" s="14" t="s">
        <v>19</v>
      </c>
      <c r="S1" s="14" t="s">
        <v>24</v>
      </c>
      <c r="T1" s="14" t="s">
        <v>23</v>
      </c>
      <c r="U1" s="13" t="s">
        <v>3</v>
      </c>
      <c r="V1" s="15" t="s">
        <v>4</v>
      </c>
      <c r="W1" s="48" t="s">
        <v>40</v>
      </c>
      <c r="X1" s="48" t="s">
        <v>39</v>
      </c>
      <c r="Y1" s="48" t="s">
        <v>77</v>
      </c>
      <c r="Z1" s="48" t="s">
        <v>78</v>
      </c>
      <c r="AA1" s="16" t="s">
        <v>27</v>
      </c>
      <c r="AB1" s="16" t="s">
        <v>28</v>
      </c>
      <c r="AC1" s="71" t="s">
        <v>76</v>
      </c>
      <c r="AD1" s="16" t="s">
        <v>29</v>
      </c>
      <c r="AE1" s="16" t="s">
        <v>30</v>
      </c>
      <c r="AF1" s="8"/>
      <c r="AG1" s="8"/>
    </row>
    <row r="2" spans="1:35" ht="20.25" customHeight="1" x14ac:dyDescent="0.2">
      <c r="A2" s="17">
        <v>44155</v>
      </c>
      <c r="B2" s="37">
        <f>WEEKNUM(A2,2)</f>
        <v>47</v>
      </c>
      <c r="C2" s="61">
        <f t="shared" ref="C2:C16" si="0">+A2</f>
        <v>44155</v>
      </c>
      <c r="D2" s="36">
        <v>1</v>
      </c>
      <c r="E2" s="20" t="s">
        <v>26</v>
      </c>
      <c r="F2" s="68">
        <v>44155.413252314815</v>
      </c>
      <c r="G2" s="35">
        <v>1769.8</v>
      </c>
      <c r="H2" s="22"/>
      <c r="I2" s="68">
        <v>44155.415023148147</v>
      </c>
      <c r="J2" s="35">
        <v>1766.9</v>
      </c>
      <c r="K2" s="35"/>
      <c r="L2" s="23">
        <f>+I2-F2</f>
        <v>1.7708333325572312E-3</v>
      </c>
      <c r="M2" s="22">
        <f>+IF(E2="SELL",G2-J2,J2-G2)</f>
        <v>2.8999999999998636</v>
      </c>
      <c r="N2" s="24">
        <v>5</v>
      </c>
      <c r="O2" s="25">
        <v>1</v>
      </c>
      <c r="P2" s="25">
        <f>+IF(G2&gt;0,O2*0.8)</f>
        <v>0.8</v>
      </c>
      <c r="Q2" s="26"/>
      <c r="R2" s="26"/>
      <c r="S2" s="26"/>
      <c r="T2" s="27"/>
      <c r="U2" s="83">
        <f>+O2*N2*M2-P2</f>
        <v>13.699999999999317</v>
      </c>
      <c r="V2" s="22">
        <f>SUM(U2:U6)</f>
        <v>12.699999999999317</v>
      </c>
      <c r="W2" s="22">
        <v>2200</v>
      </c>
      <c r="X2" s="22">
        <f>+Tabla1[[#This Row],[Total Cuenta Real]]+Tabla1[[#This Row],[Objetivo presupuestado]]</f>
        <v>2250</v>
      </c>
      <c r="Y2" s="22">
        <f>IF(AF2=0,"0",10)</f>
        <v>10</v>
      </c>
      <c r="Z2" s="22">
        <f>IF(AF2=0,"0",50)</f>
        <v>50</v>
      </c>
      <c r="AA2" s="27">
        <f>+IFERROR(AF5/(AG5*-1),AF5)</f>
        <v>2.8999999999998636</v>
      </c>
      <c r="AB2" s="72">
        <f>+IFERROR(AF6/AF2,"0")</f>
        <v>0.5</v>
      </c>
      <c r="AC2" s="29">
        <f>+IF(J2&gt;0,1,"")</f>
        <v>1</v>
      </c>
      <c r="AD2" s="30">
        <f t="shared" ref="AD2:AD16" si="1">+IF(M2&gt;0,M2,"")</f>
        <v>2.8999999999998636</v>
      </c>
      <c r="AE2" s="30" t="str">
        <f t="shared" ref="AE2:AE16" si="2">+IF(M2&lt;0,M2,"")</f>
        <v/>
      </c>
      <c r="AF2" s="9">
        <f>+COUNTIF(AC2:AC6,"1")</f>
        <v>2</v>
      </c>
      <c r="AH2" s="66" t="s">
        <v>25</v>
      </c>
      <c r="AI2" s="66" t="s">
        <v>6</v>
      </c>
    </row>
    <row r="3" spans="1:35" ht="20.25" customHeight="1" x14ac:dyDescent="0.2">
      <c r="A3" s="31">
        <f t="shared" ref="A3:B6" si="3">+A2</f>
        <v>44155</v>
      </c>
      <c r="B3" s="38">
        <f t="shared" si="3"/>
        <v>47</v>
      </c>
      <c r="C3" s="62">
        <f t="shared" si="0"/>
        <v>44155</v>
      </c>
      <c r="D3" s="36">
        <v>2</v>
      </c>
      <c r="E3" s="20" t="s">
        <v>25</v>
      </c>
      <c r="F3" s="21">
        <v>44155.464768518519</v>
      </c>
      <c r="G3" s="22">
        <v>1775.1</v>
      </c>
      <c r="H3" s="22"/>
      <c r="I3" s="21">
        <v>44155.471226851849</v>
      </c>
      <c r="J3" s="22">
        <v>1775.1</v>
      </c>
      <c r="K3" s="22"/>
      <c r="L3" s="23">
        <f>+I3-F3</f>
        <v>6.4583333296468481E-3</v>
      </c>
      <c r="M3" s="22">
        <f>+IF(E3="buy",G3-J3,J3-G3)</f>
        <v>0</v>
      </c>
      <c r="N3" s="24">
        <v>5</v>
      </c>
      <c r="O3" s="25">
        <v>1</v>
      </c>
      <c r="P3" s="25">
        <f>+IF(G3&gt;0,O3*1,0)</f>
        <v>1</v>
      </c>
      <c r="Q3" s="26"/>
      <c r="R3" s="26"/>
      <c r="S3" s="26"/>
      <c r="T3" s="27"/>
      <c r="U3" s="83">
        <f t="shared" ref="U3:U16" si="4">+O3*N3*M3-P3</f>
        <v>-1</v>
      </c>
      <c r="V3" s="22"/>
      <c r="W3" s="22"/>
      <c r="X3" s="22"/>
      <c r="Y3" s="22"/>
      <c r="Z3" s="22"/>
      <c r="AA3" s="73"/>
      <c r="AB3" s="73"/>
      <c r="AC3" s="29">
        <f>+IF(J3&gt;0,1,"")</f>
        <v>1</v>
      </c>
      <c r="AD3" s="30" t="str">
        <f t="shared" si="1"/>
        <v/>
      </c>
      <c r="AE3" s="30" t="str">
        <f t="shared" si="2"/>
        <v/>
      </c>
      <c r="AF3" s="2"/>
      <c r="AH3" s="66" t="s">
        <v>26</v>
      </c>
      <c r="AI3" s="66" t="s">
        <v>7</v>
      </c>
    </row>
    <row r="4" spans="1:35" ht="20.25" customHeight="1" x14ac:dyDescent="0.2">
      <c r="A4" s="31">
        <f t="shared" si="3"/>
        <v>44155</v>
      </c>
      <c r="B4" s="38">
        <f t="shared" si="3"/>
        <v>47</v>
      </c>
      <c r="C4" s="62">
        <f t="shared" si="0"/>
        <v>44155</v>
      </c>
      <c r="D4" s="36">
        <v>3</v>
      </c>
      <c r="E4" s="20"/>
      <c r="F4" s="21"/>
      <c r="G4" s="22"/>
      <c r="H4" s="22"/>
      <c r="I4" s="21"/>
      <c r="J4" s="22"/>
      <c r="K4" s="22"/>
      <c r="L4" s="23">
        <f t="shared" ref="L4:L16" si="5">+I4-F4</f>
        <v>0</v>
      </c>
      <c r="M4" s="22">
        <f t="shared" ref="M4:M16" si="6">+IF(E4="buy",J4-G4,G4-J4)</f>
        <v>0</v>
      </c>
      <c r="N4" s="24">
        <v>5</v>
      </c>
      <c r="O4" s="25">
        <v>1</v>
      </c>
      <c r="P4" s="25">
        <f t="shared" ref="P4:P16" si="7">+IF(J4&gt;0,O4*1,0)</f>
        <v>0</v>
      </c>
      <c r="Q4" s="26"/>
      <c r="R4" s="26"/>
      <c r="S4" s="26"/>
      <c r="T4" s="27"/>
      <c r="U4" s="28">
        <f t="shared" si="4"/>
        <v>0</v>
      </c>
      <c r="V4" s="22"/>
      <c r="W4" s="22"/>
      <c r="X4" s="22"/>
      <c r="Y4" s="22"/>
      <c r="Z4" s="22"/>
      <c r="AA4" s="40"/>
      <c r="AB4" s="40"/>
      <c r="AC4" s="29" t="str">
        <f t="shared" ref="AC4:AC16" si="8">+IF(G4&gt;0,1,"")</f>
        <v/>
      </c>
      <c r="AD4" s="30" t="str">
        <f t="shared" si="1"/>
        <v/>
      </c>
      <c r="AE4" s="30" t="str">
        <f t="shared" si="2"/>
        <v/>
      </c>
      <c r="AF4" s="2"/>
      <c r="AI4" s="66" t="s">
        <v>73</v>
      </c>
    </row>
    <row r="5" spans="1:35" ht="20.25" customHeight="1" x14ac:dyDescent="0.2">
      <c r="A5" s="31">
        <f t="shared" si="3"/>
        <v>44155</v>
      </c>
      <c r="B5" s="38">
        <f t="shared" si="3"/>
        <v>47</v>
      </c>
      <c r="C5" s="62">
        <f t="shared" si="0"/>
        <v>44155</v>
      </c>
      <c r="D5" s="36">
        <v>4</v>
      </c>
      <c r="E5" s="20"/>
      <c r="F5" s="21"/>
      <c r="G5" s="35"/>
      <c r="H5" s="22"/>
      <c r="I5" s="21"/>
      <c r="J5" s="22"/>
      <c r="K5" s="22"/>
      <c r="L5" s="23">
        <f t="shared" si="5"/>
        <v>0</v>
      </c>
      <c r="M5" s="22">
        <f>+IF(E5="buy",J5-G5,G5-J5)</f>
        <v>0</v>
      </c>
      <c r="N5" s="24">
        <v>5</v>
      </c>
      <c r="O5" s="25">
        <v>1</v>
      </c>
      <c r="P5" s="25">
        <f t="shared" si="7"/>
        <v>0</v>
      </c>
      <c r="Q5" s="26"/>
      <c r="R5" s="26"/>
      <c r="S5" s="26"/>
      <c r="T5" s="27"/>
      <c r="U5" s="28">
        <f t="shared" si="4"/>
        <v>0</v>
      </c>
      <c r="V5" s="22"/>
      <c r="W5" s="22"/>
      <c r="X5" s="22"/>
      <c r="Y5" s="22"/>
      <c r="Z5" s="22"/>
      <c r="AA5" s="40"/>
      <c r="AB5" s="40"/>
      <c r="AC5" s="29" t="str">
        <f>+IF(G5&gt;0,1,"")</f>
        <v/>
      </c>
      <c r="AD5" s="30" t="str">
        <f t="shared" si="1"/>
        <v/>
      </c>
      <c r="AE5" s="30" t="str">
        <f t="shared" si="2"/>
        <v/>
      </c>
      <c r="AF5" s="6">
        <f>+SUM(AD2:AD6)</f>
        <v>2.8999999999998636</v>
      </c>
      <c r="AG5" s="6">
        <f>+SUM(AE1:AE6)</f>
        <v>0</v>
      </c>
      <c r="AI5" s="66" t="s">
        <v>74</v>
      </c>
    </row>
    <row r="6" spans="1:35" ht="20.25" customHeight="1" x14ac:dyDescent="0.2">
      <c r="A6" s="33">
        <f t="shared" si="3"/>
        <v>44155</v>
      </c>
      <c r="B6" s="39">
        <f t="shared" si="3"/>
        <v>47</v>
      </c>
      <c r="C6" s="63">
        <f t="shared" si="0"/>
        <v>44155</v>
      </c>
      <c r="D6" s="36">
        <v>5</v>
      </c>
      <c r="E6" s="20"/>
      <c r="F6" s="21"/>
      <c r="G6" s="22"/>
      <c r="H6" s="22"/>
      <c r="I6" s="21"/>
      <c r="J6" s="22"/>
      <c r="K6" s="22"/>
      <c r="L6" s="23">
        <f t="shared" si="5"/>
        <v>0</v>
      </c>
      <c r="M6" s="22">
        <f>+IF(E6="buy",J6-G6,G6-J6)</f>
        <v>0</v>
      </c>
      <c r="N6" s="24">
        <v>5</v>
      </c>
      <c r="O6" s="25">
        <v>1</v>
      </c>
      <c r="P6" s="25">
        <f t="shared" si="7"/>
        <v>0</v>
      </c>
      <c r="Q6" s="26"/>
      <c r="R6" s="26"/>
      <c r="S6" s="26"/>
      <c r="T6" s="27"/>
      <c r="U6" s="28">
        <f t="shared" si="4"/>
        <v>0</v>
      </c>
      <c r="V6" s="22"/>
      <c r="W6" s="22"/>
      <c r="X6" s="22"/>
      <c r="Y6" s="22"/>
      <c r="Z6" s="22"/>
      <c r="AA6" s="40"/>
      <c r="AB6" s="40"/>
      <c r="AC6" s="29" t="e">
        <f>+IF(#REF!&gt;0,1,"")</f>
        <v>#REF!</v>
      </c>
      <c r="AD6" s="30" t="str">
        <f t="shared" si="1"/>
        <v/>
      </c>
      <c r="AE6" s="30" t="str">
        <f t="shared" si="2"/>
        <v/>
      </c>
      <c r="AF6" s="7">
        <f>+COUNT(AD2:AD6)</f>
        <v>1</v>
      </c>
      <c r="AG6" s="7">
        <f>+COUNT(AE1:AE6)</f>
        <v>0</v>
      </c>
      <c r="AI6" s="66" t="s">
        <v>8</v>
      </c>
    </row>
    <row r="7" spans="1:35" ht="20.25" customHeight="1" x14ac:dyDescent="0.2">
      <c r="A7" s="17">
        <f>+A2+1</f>
        <v>44156</v>
      </c>
      <c r="B7" s="18">
        <f>WEEKNUM(A7,2)</f>
        <v>47</v>
      </c>
      <c r="C7" s="61">
        <f t="shared" si="0"/>
        <v>44156</v>
      </c>
      <c r="D7" s="19">
        <v>1</v>
      </c>
      <c r="E7" s="20"/>
      <c r="F7" s="21"/>
      <c r="G7" s="22"/>
      <c r="H7" s="22"/>
      <c r="I7" s="21"/>
      <c r="J7" s="22"/>
      <c r="K7" s="22"/>
      <c r="L7" s="23">
        <f t="shared" si="5"/>
        <v>0</v>
      </c>
      <c r="M7" s="22">
        <f t="shared" si="6"/>
        <v>0</v>
      </c>
      <c r="N7" s="24">
        <v>5</v>
      </c>
      <c r="O7" s="25">
        <v>1</v>
      </c>
      <c r="P7" s="25">
        <f t="shared" si="7"/>
        <v>0</v>
      </c>
      <c r="Q7" s="26"/>
      <c r="R7" s="26"/>
      <c r="S7" s="26"/>
      <c r="T7" s="27"/>
      <c r="U7" s="28">
        <f t="shared" si="4"/>
        <v>0</v>
      </c>
      <c r="V7" s="40">
        <f>SUM(U7:U11)</f>
        <v>0</v>
      </c>
      <c r="W7" s="74">
        <f>+Tabla1[[#This Row],[RESULTADO DEL DÍA]]+W2</f>
        <v>2200</v>
      </c>
      <c r="X7" s="22">
        <f>+X2+Tabla1[[#This Row],[Objetivo presupuestado]]</f>
        <v>2250</v>
      </c>
      <c r="Y7" s="22" t="str">
        <f>IF(AF7=0,"0",10)</f>
        <v>0</v>
      </c>
      <c r="Z7" s="22" t="str">
        <f>IF(AF7=0,"0",50)</f>
        <v>0</v>
      </c>
      <c r="AA7" s="27">
        <f>+IFERROR(AF10/(AG10*-1),AF10)</f>
        <v>0</v>
      </c>
      <c r="AB7" s="75" t="str">
        <f>+IFERROR(AF11/AF7,"0")</f>
        <v>0</v>
      </c>
      <c r="AC7" s="29" t="str">
        <f t="shared" si="8"/>
        <v/>
      </c>
      <c r="AD7" s="30" t="str">
        <f t="shared" si="1"/>
        <v/>
      </c>
      <c r="AE7" s="30" t="str">
        <f t="shared" si="2"/>
        <v/>
      </c>
      <c r="AF7" s="9">
        <f>+COUNTIF(AC7:AC11,"1")</f>
        <v>0</v>
      </c>
      <c r="AI7" s="66" t="s">
        <v>9</v>
      </c>
    </row>
    <row r="8" spans="1:35" ht="20.25" customHeight="1" x14ac:dyDescent="0.2">
      <c r="A8" s="31">
        <f t="shared" ref="A8:B11" si="9">+A7</f>
        <v>44156</v>
      </c>
      <c r="B8" s="32">
        <f t="shared" si="9"/>
        <v>47</v>
      </c>
      <c r="C8" s="62">
        <f t="shared" si="0"/>
        <v>44156</v>
      </c>
      <c r="D8" s="19">
        <v>2</v>
      </c>
      <c r="E8" s="20"/>
      <c r="F8" s="21"/>
      <c r="G8" s="22"/>
      <c r="H8" s="22"/>
      <c r="I8" s="21"/>
      <c r="J8" s="22"/>
      <c r="K8" s="22"/>
      <c r="L8" s="23">
        <f t="shared" si="5"/>
        <v>0</v>
      </c>
      <c r="M8" s="22">
        <f t="shared" si="6"/>
        <v>0</v>
      </c>
      <c r="N8" s="24">
        <v>5</v>
      </c>
      <c r="O8" s="25">
        <v>1</v>
      </c>
      <c r="P8" s="25">
        <f t="shared" si="7"/>
        <v>0</v>
      </c>
      <c r="Q8" s="26"/>
      <c r="R8" s="26"/>
      <c r="S8" s="26"/>
      <c r="T8" s="27"/>
      <c r="U8" s="28">
        <f t="shared" si="4"/>
        <v>0</v>
      </c>
      <c r="V8" s="40"/>
      <c r="W8" s="40"/>
      <c r="X8" s="40"/>
      <c r="Y8" s="22"/>
      <c r="Z8" s="40"/>
      <c r="AA8" s="73"/>
      <c r="AB8" s="73"/>
      <c r="AC8" s="29" t="str">
        <f t="shared" si="8"/>
        <v/>
      </c>
      <c r="AD8" s="30" t="str">
        <f t="shared" si="1"/>
        <v/>
      </c>
      <c r="AE8" s="30" t="str">
        <f t="shared" si="2"/>
        <v/>
      </c>
      <c r="AF8" s="2"/>
    </row>
    <row r="9" spans="1:35" ht="20.25" customHeight="1" x14ac:dyDescent="0.2">
      <c r="A9" s="31">
        <f t="shared" si="9"/>
        <v>44156</v>
      </c>
      <c r="B9" s="32">
        <f t="shared" si="9"/>
        <v>47</v>
      </c>
      <c r="C9" s="62">
        <f t="shared" si="0"/>
        <v>44156</v>
      </c>
      <c r="D9" s="19">
        <v>3</v>
      </c>
      <c r="E9" s="20"/>
      <c r="F9" s="21"/>
      <c r="G9" s="22"/>
      <c r="H9" s="22"/>
      <c r="I9" s="21"/>
      <c r="J9" s="22"/>
      <c r="K9" s="35"/>
      <c r="L9" s="23">
        <f t="shared" si="5"/>
        <v>0</v>
      </c>
      <c r="M9" s="22">
        <f t="shared" si="6"/>
        <v>0</v>
      </c>
      <c r="N9" s="24">
        <v>5</v>
      </c>
      <c r="O9" s="25">
        <v>1</v>
      </c>
      <c r="P9" s="25">
        <f t="shared" si="7"/>
        <v>0</v>
      </c>
      <c r="Q9" s="26"/>
      <c r="R9" s="26"/>
      <c r="S9" s="26"/>
      <c r="T9" s="27"/>
      <c r="U9" s="28">
        <f t="shared" si="4"/>
        <v>0</v>
      </c>
      <c r="V9" s="40"/>
      <c r="W9" s="40"/>
      <c r="X9" s="40"/>
      <c r="Y9" s="22"/>
      <c r="Z9" s="40"/>
      <c r="AA9" s="40"/>
      <c r="AB9" s="40"/>
      <c r="AC9" s="29" t="str">
        <f t="shared" si="8"/>
        <v/>
      </c>
      <c r="AD9" s="30" t="str">
        <f t="shared" si="1"/>
        <v/>
      </c>
      <c r="AE9" s="30" t="str">
        <f t="shared" si="2"/>
        <v/>
      </c>
      <c r="AF9" s="2"/>
      <c r="AI9" s="67"/>
    </row>
    <row r="10" spans="1:35" ht="20.25" customHeight="1" x14ac:dyDescent="0.2">
      <c r="A10" s="31">
        <f t="shared" si="9"/>
        <v>44156</v>
      </c>
      <c r="B10" s="32">
        <f t="shared" si="9"/>
        <v>47</v>
      </c>
      <c r="C10" s="62">
        <f t="shared" si="0"/>
        <v>44156</v>
      </c>
      <c r="D10" s="19">
        <v>4</v>
      </c>
      <c r="E10" s="20"/>
      <c r="F10" s="21"/>
      <c r="G10" s="22"/>
      <c r="H10" s="22"/>
      <c r="I10" s="21"/>
      <c r="J10" s="22"/>
      <c r="K10" s="35"/>
      <c r="L10" s="23">
        <f t="shared" si="5"/>
        <v>0</v>
      </c>
      <c r="M10" s="22">
        <f t="shared" si="6"/>
        <v>0</v>
      </c>
      <c r="N10" s="24">
        <v>5</v>
      </c>
      <c r="O10" s="25">
        <v>1</v>
      </c>
      <c r="P10" s="25">
        <f t="shared" si="7"/>
        <v>0</v>
      </c>
      <c r="Q10" s="26"/>
      <c r="R10" s="26"/>
      <c r="S10" s="26"/>
      <c r="T10" s="27"/>
      <c r="U10" s="28">
        <f t="shared" si="4"/>
        <v>0</v>
      </c>
      <c r="V10" s="40"/>
      <c r="W10" s="40"/>
      <c r="X10" s="40"/>
      <c r="Y10" s="22"/>
      <c r="Z10" s="40"/>
      <c r="AA10" s="40"/>
      <c r="AB10" s="40"/>
      <c r="AC10" s="29" t="str">
        <f t="shared" si="8"/>
        <v/>
      </c>
      <c r="AD10" s="30" t="str">
        <f t="shared" si="1"/>
        <v/>
      </c>
      <c r="AE10" s="30" t="str">
        <f t="shared" si="2"/>
        <v/>
      </c>
      <c r="AF10" s="6">
        <f>+SUM(AD7:AD11)</f>
        <v>0</v>
      </c>
      <c r="AG10" s="6">
        <f>+SUM(AE6:AE11)</f>
        <v>0</v>
      </c>
    </row>
    <row r="11" spans="1:35" ht="20.25" customHeight="1" x14ac:dyDescent="0.2">
      <c r="A11" s="33">
        <f t="shared" si="9"/>
        <v>44156</v>
      </c>
      <c r="B11" s="34">
        <f t="shared" si="9"/>
        <v>47</v>
      </c>
      <c r="C11" s="63">
        <f t="shared" si="0"/>
        <v>44156</v>
      </c>
      <c r="D11" s="19">
        <v>5</v>
      </c>
      <c r="E11" s="20"/>
      <c r="F11" s="21"/>
      <c r="G11" s="22"/>
      <c r="H11" s="22"/>
      <c r="I11" s="21"/>
      <c r="J11" s="22"/>
      <c r="K11" s="35"/>
      <c r="L11" s="23">
        <f t="shared" si="5"/>
        <v>0</v>
      </c>
      <c r="M11" s="22">
        <f t="shared" si="6"/>
        <v>0</v>
      </c>
      <c r="N11" s="24">
        <v>5</v>
      </c>
      <c r="O11" s="25">
        <v>1</v>
      </c>
      <c r="P11" s="25">
        <f t="shared" si="7"/>
        <v>0</v>
      </c>
      <c r="Q11" s="26"/>
      <c r="R11" s="26"/>
      <c r="S11" s="26"/>
      <c r="T11" s="27"/>
      <c r="U11" s="28">
        <f t="shared" si="4"/>
        <v>0</v>
      </c>
      <c r="V11" s="40"/>
      <c r="W11" s="40"/>
      <c r="X11" s="40"/>
      <c r="Y11" s="22"/>
      <c r="Z11" s="40"/>
      <c r="AA11" s="40"/>
      <c r="AB11" s="40"/>
      <c r="AC11" s="29" t="str">
        <f t="shared" si="8"/>
        <v/>
      </c>
      <c r="AD11" s="30" t="str">
        <f t="shared" si="1"/>
        <v/>
      </c>
      <c r="AE11" s="30" t="str">
        <f t="shared" si="2"/>
        <v/>
      </c>
      <c r="AF11" s="7">
        <f>+COUNT(AD7:AD11)</f>
        <v>0</v>
      </c>
      <c r="AG11" s="7">
        <f>+COUNT(AE6:AE11)</f>
        <v>0</v>
      </c>
    </row>
    <row r="12" spans="1:35" ht="20.25" customHeight="1" x14ac:dyDescent="0.2">
      <c r="A12" s="17">
        <f>+A7+1</f>
        <v>44157</v>
      </c>
      <c r="B12" s="18">
        <f>WEEKNUM(A12,2)</f>
        <v>47</v>
      </c>
      <c r="C12" s="61">
        <f t="shared" si="0"/>
        <v>44157</v>
      </c>
      <c r="D12" s="19">
        <v>1</v>
      </c>
      <c r="E12" s="20"/>
      <c r="F12" s="21"/>
      <c r="G12" s="22"/>
      <c r="H12" s="22"/>
      <c r="I12" s="21"/>
      <c r="J12" s="22"/>
      <c r="K12" s="35"/>
      <c r="L12" s="23">
        <f t="shared" si="5"/>
        <v>0</v>
      </c>
      <c r="M12" s="22">
        <f t="shared" si="6"/>
        <v>0</v>
      </c>
      <c r="N12" s="24">
        <v>5</v>
      </c>
      <c r="O12" s="25">
        <v>1</v>
      </c>
      <c r="P12" s="25">
        <f t="shared" si="7"/>
        <v>0</v>
      </c>
      <c r="Q12" s="69" t="s">
        <v>79</v>
      </c>
      <c r="R12" s="69" t="s">
        <v>79</v>
      </c>
      <c r="S12" s="69" t="s">
        <v>79</v>
      </c>
      <c r="T12" s="70" t="s">
        <v>79</v>
      </c>
      <c r="U12" s="28">
        <f t="shared" si="4"/>
        <v>0</v>
      </c>
      <c r="V12" s="22">
        <f>SUM(U12:U16)</f>
        <v>0</v>
      </c>
      <c r="W12" s="74">
        <f>+Tabla1[[#This Row],[RESULTADO DEL DÍA]]+W7</f>
        <v>2200</v>
      </c>
      <c r="X12" s="22">
        <f>+X7+Tabla1[[#This Row],[Objetivo presupuestado]]</f>
        <v>2250</v>
      </c>
      <c r="Y12" s="22" t="str">
        <f>IF(AF12=0,"0",10)</f>
        <v>0</v>
      </c>
      <c r="Z12" s="22" t="str">
        <f>IF(AF12=0,"0",50)</f>
        <v>0</v>
      </c>
      <c r="AA12" s="27">
        <f>+IFERROR(AF15/(AG15*-1),AF15)</f>
        <v>0</v>
      </c>
      <c r="AB12" s="75" t="str">
        <f>+IFERROR(AF16/AF12,"0")</f>
        <v>0</v>
      </c>
      <c r="AC12" s="29" t="str">
        <f t="shared" si="8"/>
        <v/>
      </c>
      <c r="AD12" s="30" t="str">
        <f t="shared" si="1"/>
        <v/>
      </c>
      <c r="AE12" s="30" t="str">
        <f t="shared" si="2"/>
        <v/>
      </c>
      <c r="AF12" s="9">
        <f>+COUNTIF(AC12:AC16,"1")</f>
        <v>0</v>
      </c>
    </row>
    <row r="13" spans="1:35" ht="20.25" customHeight="1" x14ac:dyDescent="0.2">
      <c r="A13" s="31">
        <f>+A12</f>
        <v>44157</v>
      </c>
      <c r="B13" s="32">
        <f t="shared" ref="B13:B78" si="10">+B12</f>
        <v>47</v>
      </c>
      <c r="C13" s="62">
        <f t="shared" si="0"/>
        <v>44157</v>
      </c>
      <c r="D13" s="19">
        <v>2</v>
      </c>
      <c r="E13" s="20"/>
      <c r="F13" s="21"/>
      <c r="G13" s="22"/>
      <c r="H13" s="22"/>
      <c r="I13" s="21"/>
      <c r="J13" s="22"/>
      <c r="K13" s="35"/>
      <c r="L13" s="23">
        <f t="shared" si="5"/>
        <v>0</v>
      </c>
      <c r="M13" s="22">
        <f t="shared" si="6"/>
        <v>0</v>
      </c>
      <c r="N13" s="24">
        <v>5</v>
      </c>
      <c r="O13" s="25">
        <v>1</v>
      </c>
      <c r="P13" s="25">
        <f t="shared" si="7"/>
        <v>0</v>
      </c>
      <c r="Q13" s="69" t="s">
        <v>79</v>
      </c>
      <c r="R13" s="69" t="s">
        <v>79</v>
      </c>
      <c r="S13" s="69" t="s">
        <v>79</v>
      </c>
      <c r="T13" s="70" t="s">
        <v>79</v>
      </c>
      <c r="U13" s="28">
        <f t="shared" si="4"/>
        <v>0</v>
      </c>
      <c r="V13" s="22"/>
      <c r="W13" s="22"/>
      <c r="X13" s="40"/>
      <c r="Y13" s="22"/>
      <c r="Z13" s="40"/>
      <c r="AA13" s="73"/>
      <c r="AB13" s="73"/>
      <c r="AC13" s="29" t="str">
        <f t="shared" si="8"/>
        <v/>
      </c>
      <c r="AD13" s="30" t="str">
        <f t="shared" si="1"/>
        <v/>
      </c>
      <c r="AE13" s="30" t="str">
        <f t="shared" si="2"/>
        <v/>
      </c>
      <c r="AF13" s="2"/>
    </row>
    <row r="14" spans="1:35" ht="20.25" customHeight="1" x14ac:dyDescent="0.2">
      <c r="A14" s="31">
        <f>+A13</f>
        <v>44157</v>
      </c>
      <c r="B14" s="32">
        <f t="shared" si="10"/>
        <v>47</v>
      </c>
      <c r="C14" s="62">
        <f t="shared" si="0"/>
        <v>44157</v>
      </c>
      <c r="D14" s="19">
        <v>3</v>
      </c>
      <c r="E14" s="20"/>
      <c r="F14" s="21"/>
      <c r="G14" s="22"/>
      <c r="H14" s="22"/>
      <c r="I14" s="21"/>
      <c r="J14" s="22"/>
      <c r="K14" s="22"/>
      <c r="L14" s="23">
        <f t="shared" si="5"/>
        <v>0</v>
      </c>
      <c r="M14" s="22">
        <f t="shared" si="6"/>
        <v>0</v>
      </c>
      <c r="N14" s="24">
        <v>5</v>
      </c>
      <c r="O14" s="25">
        <v>1</v>
      </c>
      <c r="P14" s="25">
        <f t="shared" si="7"/>
        <v>0</v>
      </c>
      <c r="Q14" s="26"/>
      <c r="R14" s="26"/>
      <c r="S14" s="26"/>
      <c r="T14" s="27"/>
      <c r="U14" s="28">
        <f t="shared" si="4"/>
        <v>0</v>
      </c>
      <c r="V14" s="22"/>
      <c r="W14" s="22"/>
      <c r="X14" s="40"/>
      <c r="Y14" s="22"/>
      <c r="Z14" s="40"/>
      <c r="AA14" s="40"/>
      <c r="AB14" s="40"/>
      <c r="AC14" s="29" t="str">
        <f t="shared" si="8"/>
        <v/>
      </c>
      <c r="AD14" s="30" t="str">
        <f t="shared" si="1"/>
        <v/>
      </c>
      <c r="AE14" s="30" t="str">
        <f t="shared" si="2"/>
        <v/>
      </c>
      <c r="AF14" s="2"/>
    </row>
    <row r="15" spans="1:35" ht="20.25" customHeight="1" x14ac:dyDescent="0.2">
      <c r="A15" s="31">
        <f>+A14</f>
        <v>44157</v>
      </c>
      <c r="B15" s="32">
        <f t="shared" si="10"/>
        <v>47</v>
      </c>
      <c r="C15" s="62">
        <f t="shared" si="0"/>
        <v>44157</v>
      </c>
      <c r="D15" s="19">
        <v>4</v>
      </c>
      <c r="E15" s="20"/>
      <c r="F15" s="21"/>
      <c r="G15" s="22"/>
      <c r="H15" s="22"/>
      <c r="I15" s="21"/>
      <c r="J15" s="22"/>
      <c r="K15" s="22"/>
      <c r="L15" s="23">
        <f t="shared" si="5"/>
        <v>0</v>
      </c>
      <c r="M15" s="22">
        <f t="shared" si="6"/>
        <v>0</v>
      </c>
      <c r="N15" s="24">
        <v>5</v>
      </c>
      <c r="O15" s="25">
        <v>1</v>
      </c>
      <c r="P15" s="25">
        <f t="shared" si="7"/>
        <v>0</v>
      </c>
      <c r="Q15" s="26"/>
      <c r="R15" s="26"/>
      <c r="S15" s="26"/>
      <c r="T15" s="27"/>
      <c r="U15" s="28">
        <f t="shared" si="4"/>
        <v>0</v>
      </c>
      <c r="V15" s="22"/>
      <c r="W15" s="22"/>
      <c r="X15" s="40"/>
      <c r="Y15" s="22"/>
      <c r="Z15" s="40"/>
      <c r="AA15" s="40"/>
      <c r="AB15" s="40"/>
      <c r="AC15" s="29" t="str">
        <f t="shared" si="8"/>
        <v/>
      </c>
      <c r="AD15" s="30" t="str">
        <f t="shared" si="1"/>
        <v/>
      </c>
      <c r="AE15" s="30" t="str">
        <f t="shared" si="2"/>
        <v/>
      </c>
      <c r="AF15" s="6">
        <f>+SUM(AD12:AD16)</f>
        <v>0</v>
      </c>
      <c r="AG15" s="6">
        <f>+SUM(AE11:AE16)</f>
        <v>0</v>
      </c>
    </row>
    <row r="16" spans="1:35" ht="20.25" customHeight="1" x14ac:dyDescent="0.2">
      <c r="A16" s="33">
        <f>+A15</f>
        <v>44157</v>
      </c>
      <c r="B16" s="34">
        <f t="shared" si="10"/>
        <v>47</v>
      </c>
      <c r="C16" s="63">
        <f t="shared" si="0"/>
        <v>44157</v>
      </c>
      <c r="D16" s="19">
        <v>5</v>
      </c>
      <c r="E16" s="20"/>
      <c r="F16" s="21"/>
      <c r="G16" s="22"/>
      <c r="H16" s="22"/>
      <c r="I16" s="21"/>
      <c r="J16" s="22"/>
      <c r="K16" s="22"/>
      <c r="L16" s="23">
        <f t="shared" si="5"/>
        <v>0</v>
      </c>
      <c r="M16" s="22">
        <f t="shared" si="6"/>
        <v>0</v>
      </c>
      <c r="N16" s="24">
        <v>5</v>
      </c>
      <c r="O16" s="25">
        <v>1</v>
      </c>
      <c r="P16" s="25">
        <f t="shared" si="7"/>
        <v>0</v>
      </c>
      <c r="Q16" s="26"/>
      <c r="R16" s="26"/>
      <c r="S16" s="26"/>
      <c r="T16" s="27"/>
      <c r="U16" s="28">
        <f t="shared" si="4"/>
        <v>0</v>
      </c>
      <c r="V16" s="22"/>
      <c r="W16" s="22"/>
      <c r="X16" s="40"/>
      <c r="Y16" s="22"/>
      <c r="Z16" s="40"/>
      <c r="AA16" s="40"/>
      <c r="AB16" s="40"/>
      <c r="AC16" s="29" t="str">
        <f t="shared" si="8"/>
        <v/>
      </c>
      <c r="AD16" s="30" t="str">
        <f t="shared" si="1"/>
        <v/>
      </c>
      <c r="AE16" s="30" t="str">
        <f t="shared" si="2"/>
        <v/>
      </c>
      <c r="AF16" s="7">
        <f>+COUNT(AD12:AD16)</f>
        <v>0</v>
      </c>
      <c r="AG16" s="7">
        <f>+COUNT(AE11:AE16)</f>
        <v>0</v>
      </c>
    </row>
    <row r="17" spans="1:33" ht="20.25" customHeight="1" x14ac:dyDescent="0.2">
      <c r="A17" s="17">
        <f>+A12+1</f>
        <v>44158</v>
      </c>
      <c r="B17" s="18">
        <f>WEEKNUM(A17,2)</f>
        <v>48</v>
      </c>
      <c r="C17" s="61">
        <f t="shared" ref="C17:C80" si="11">+A17</f>
        <v>44158</v>
      </c>
      <c r="D17" s="19">
        <v>1</v>
      </c>
      <c r="E17" s="20" t="s">
        <v>25</v>
      </c>
      <c r="F17" s="21">
        <v>44158.441423611112</v>
      </c>
      <c r="G17" s="22">
        <v>1803</v>
      </c>
      <c r="H17" s="22"/>
      <c r="I17" s="21">
        <v>44158.450011574074</v>
      </c>
      <c r="J17" s="22">
        <v>1809</v>
      </c>
      <c r="K17" s="22"/>
      <c r="L17" s="23">
        <f t="shared" ref="L17:L80" si="12">+I17-F17</f>
        <v>8.5879629623377696E-3</v>
      </c>
      <c r="M17" s="22">
        <f t="shared" ref="M17:M80" si="13">+IF(E17="buy",J17-G17,G17-J17)</f>
        <v>6</v>
      </c>
      <c r="N17" s="24">
        <v>5</v>
      </c>
      <c r="O17" s="25">
        <v>1</v>
      </c>
      <c r="P17" s="25">
        <f>+IF(J17&gt;0,O17*0.8)</f>
        <v>0.8</v>
      </c>
      <c r="Q17" s="26"/>
      <c r="R17" s="26"/>
      <c r="S17" s="26"/>
      <c r="T17" s="27"/>
      <c r="U17" s="83">
        <f t="shared" ref="U17:U80" si="14">+O17*N17*M17-P17</f>
        <v>29.2</v>
      </c>
      <c r="V17" s="22">
        <f>SUM(U17:U21)</f>
        <v>29.2</v>
      </c>
      <c r="W17" s="74">
        <f>+Tabla1[[#This Row],[RESULTADO DEL DÍA]]+W12</f>
        <v>2229.1999999999998</v>
      </c>
      <c r="X17" s="22">
        <f>+X12+Tabla1[[#This Row],[Objetivo presupuestado]]</f>
        <v>2300</v>
      </c>
      <c r="Y17" s="22">
        <f>IF(AF17=0,"0",10)</f>
        <v>10</v>
      </c>
      <c r="Z17" s="22">
        <f>IF(AF17=0,"0",50)</f>
        <v>50</v>
      </c>
      <c r="AA17" s="27">
        <f>+IFERROR(AF20/(AG20*-1),AF20)</f>
        <v>6</v>
      </c>
      <c r="AB17" s="75">
        <f>+IFERROR(AF21/AF17,"0")</f>
        <v>1</v>
      </c>
      <c r="AC17" s="29">
        <f t="shared" ref="AC17:AC80" si="15">+IF(G17&gt;0,1,"")</f>
        <v>1</v>
      </c>
      <c r="AD17" s="30">
        <f t="shared" ref="AD17:AD80" si="16">+IF(M17&gt;0,M17,"")</f>
        <v>6</v>
      </c>
      <c r="AE17" s="30" t="str">
        <f t="shared" ref="AE17:AE80" si="17">+IF(M17&lt;0,M17,"")</f>
        <v/>
      </c>
      <c r="AF17" s="9">
        <f>+COUNTIF(AC17:AC21,"1")</f>
        <v>1</v>
      </c>
    </row>
    <row r="18" spans="1:33" ht="20.25" customHeight="1" x14ac:dyDescent="0.2">
      <c r="A18" s="31">
        <f>+A17</f>
        <v>44158</v>
      </c>
      <c r="B18" s="32">
        <f t="shared" si="10"/>
        <v>48</v>
      </c>
      <c r="C18" s="62">
        <f t="shared" si="11"/>
        <v>44158</v>
      </c>
      <c r="D18" s="19">
        <v>2</v>
      </c>
      <c r="E18" s="20"/>
      <c r="F18" s="21"/>
      <c r="G18" s="22"/>
      <c r="H18" s="22"/>
      <c r="I18" s="21"/>
      <c r="J18" s="22"/>
      <c r="K18" s="22"/>
      <c r="L18" s="23">
        <f t="shared" si="12"/>
        <v>0</v>
      </c>
      <c r="M18" s="22">
        <f t="shared" si="13"/>
        <v>0</v>
      </c>
      <c r="N18" s="24">
        <v>5</v>
      </c>
      <c r="O18" s="25">
        <v>1</v>
      </c>
      <c r="P18" s="25">
        <f t="shared" ref="P18:P80" si="18">+IF(J18&gt;0,O18*1,0)</f>
        <v>0</v>
      </c>
      <c r="Q18" s="26"/>
      <c r="R18" s="26"/>
      <c r="S18" s="26"/>
      <c r="T18" s="27"/>
      <c r="U18" s="28">
        <f t="shared" si="14"/>
        <v>0</v>
      </c>
      <c r="V18" s="22"/>
      <c r="W18" s="22"/>
      <c r="X18" s="40"/>
      <c r="Y18" s="22"/>
      <c r="Z18" s="40"/>
      <c r="AA18" s="73"/>
      <c r="AB18" s="73"/>
      <c r="AC18" s="29" t="str">
        <f t="shared" si="15"/>
        <v/>
      </c>
      <c r="AD18" s="30" t="str">
        <f t="shared" si="16"/>
        <v/>
      </c>
      <c r="AE18" s="30" t="str">
        <f t="shared" si="17"/>
        <v/>
      </c>
      <c r="AF18" s="2"/>
    </row>
    <row r="19" spans="1:33" ht="20.25" customHeight="1" x14ac:dyDescent="0.2">
      <c r="A19" s="31">
        <f>+A18</f>
        <v>44158</v>
      </c>
      <c r="B19" s="32">
        <f t="shared" si="10"/>
        <v>48</v>
      </c>
      <c r="C19" s="62">
        <f t="shared" si="11"/>
        <v>44158</v>
      </c>
      <c r="D19" s="19">
        <v>3</v>
      </c>
      <c r="E19" s="20"/>
      <c r="F19" s="21"/>
      <c r="G19" s="22"/>
      <c r="H19" s="22"/>
      <c r="I19" s="21"/>
      <c r="J19" s="22"/>
      <c r="K19" s="22"/>
      <c r="L19" s="23">
        <f t="shared" si="12"/>
        <v>0</v>
      </c>
      <c r="M19" s="22">
        <f t="shared" si="13"/>
        <v>0</v>
      </c>
      <c r="N19" s="24">
        <v>5</v>
      </c>
      <c r="O19" s="25">
        <v>1</v>
      </c>
      <c r="P19" s="25">
        <f t="shared" si="18"/>
        <v>0</v>
      </c>
      <c r="Q19" s="26"/>
      <c r="R19" s="26"/>
      <c r="S19" s="26"/>
      <c r="T19" s="27"/>
      <c r="U19" s="28">
        <f t="shared" si="14"/>
        <v>0</v>
      </c>
      <c r="V19" s="22"/>
      <c r="W19" s="22"/>
      <c r="X19" s="40"/>
      <c r="Y19" s="22"/>
      <c r="Z19" s="40"/>
      <c r="AA19" s="40"/>
      <c r="AB19" s="40"/>
      <c r="AC19" s="29" t="str">
        <f t="shared" si="15"/>
        <v/>
      </c>
      <c r="AD19" s="30" t="str">
        <f t="shared" si="16"/>
        <v/>
      </c>
      <c r="AE19" s="30" t="str">
        <f t="shared" si="17"/>
        <v/>
      </c>
      <c r="AF19" s="2"/>
    </row>
    <row r="20" spans="1:33" ht="20.25" customHeight="1" x14ac:dyDescent="0.2">
      <c r="A20" s="31">
        <f>+A19</f>
        <v>44158</v>
      </c>
      <c r="B20" s="32">
        <f t="shared" si="10"/>
        <v>48</v>
      </c>
      <c r="C20" s="62">
        <f t="shared" si="11"/>
        <v>44158</v>
      </c>
      <c r="D20" s="19">
        <v>4</v>
      </c>
      <c r="E20" s="20"/>
      <c r="F20" s="21"/>
      <c r="G20" s="22"/>
      <c r="H20" s="22"/>
      <c r="I20" s="21"/>
      <c r="J20" s="22"/>
      <c r="K20" s="22"/>
      <c r="L20" s="23">
        <f t="shared" si="12"/>
        <v>0</v>
      </c>
      <c r="M20" s="22">
        <f t="shared" si="13"/>
        <v>0</v>
      </c>
      <c r="N20" s="24">
        <v>5</v>
      </c>
      <c r="O20" s="25">
        <v>1</v>
      </c>
      <c r="P20" s="25">
        <f t="shared" si="18"/>
        <v>0</v>
      </c>
      <c r="Q20" s="26"/>
      <c r="R20" s="26"/>
      <c r="S20" s="26"/>
      <c r="T20" s="27"/>
      <c r="U20" s="28">
        <f t="shared" si="14"/>
        <v>0</v>
      </c>
      <c r="V20" s="22"/>
      <c r="W20" s="22"/>
      <c r="X20" s="40"/>
      <c r="Y20" s="22"/>
      <c r="Z20" s="40"/>
      <c r="AA20" s="40"/>
      <c r="AB20" s="40"/>
      <c r="AC20" s="29" t="str">
        <f t="shared" si="15"/>
        <v/>
      </c>
      <c r="AD20" s="30" t="str">
        <f t="shared" si="16"/>
        <v/>
      </c>
      <c r="AE20" s="30" t="str">
        <f t="shared" si="17"/>
        <v/>
      </c>
      <c r="AF20" s="6">
        <f>+SUM(AD17:AD21)</f>
        <v>6</v>
      </c>
      <c r="AG20" s="6">
        <f>+SUM(AE16:AE21)</f>
        <v>0</v>
      </c>
    </row>
    <row r="21" spans="1:33" ht="20.25" customHeight="1" x14ac:dyDescent="0.2">
      <c r="A21" s="33">
        <f>+A20</f>
        <v>44158</v>
      </c>
      <c r="B21" s="34">
        <f t="shared" si="10"/>
        <v>48</v>
      </c>
      <c r="C21" s="63">
        <f t="shared" si="11"/>
        <v>44158</v>
      </c>
      <c r="D21" s="19">
        <v>5</v>
      </c>
      <c r="E21" s="20"/>
      <c r="F21" s="21"/>
      <c r="G21" s="22"/>
      <c r="H21" s="22"/>
      <c r="I21" s="21"/>
      <c r="J21" s="22"/>
      <c r="K21" s="22"/>
      <c r="L21" s="23">
        <f t="shared" si="12"/>
        <v>0</v>
      </c>
      <c r="M21" s="22">
        <f t="shared" si="13"/>
        <v>0</v>
      </c>
      <c r="N21" s="24">
        <v>5</v>
      </c>
      <c r="O21" s="25">
        <v>1</v>
      </c>
      <c r="P21" s="25">
        <f t="shared" si="18"/>
        <v>0</v>
      </c>
      <c r="Q21" s="26"/>
      <c r="R21" s="26"/>
      <c r="S21" s="26"/>
      <c r="T21" s="27"/>
      <c r="U21" s="28">
        <f t="shared" si="14"/>
        <v>0</v>
      </c>
      <c r="V21" s="22"/>
      <c r="W21" s="22"/>
      <c r="X21" s="40"/>
      <c r="Y21" s="22"/>
      <c r="Z21" s="40"/>
      <c r="AA21" s="40"/>
      <c r="AB21" s="40"/>
      <c r="AC21" s="29" t="str">
        <f t="shared" si="15"/>
        <v/>
      </c>
      <c r="AD21" s="30" t="str">
        <f t="shared" si="16"/>
        <v/>
      </c>
      <c r="AE21" s="30" t="str">
        <f t="shared" si="17"/>
        <v/>
      </c>
      <c r="AF21" s="7">
        <f>+COUNT(AD17:AD21)</f>
        <v>1</v>
      </c>
      <c r="AG21" s="7">
        <f>+COUNT(AE16:AE21)</f>
        <v>0</v>
      </c>
    </row>
    <row r="22" spans="1:33" ht="20.25" customHeight="1" x14ac:dyDescent="0.2">
      <c r="A22" s="17">
        <f>+A17+1</f>
        <v>44159</v>
      </c>
      <c r="B22" s="18">
        <f>WEEKNUM(A22,2)</f>
        <v>48</v>
      </c>
      <c r="C22" s="61">
        <f t="shared" si="11"/>
        <v>44159</v>
      </c>
      <c r="D22" s="19">
        <v>1</v>
      </c>
      <c r="E22" s="20" t="s">
        <v>25</v>
      </c>
      <c r="F22" s="21"/>
      <c r="G22" s="22">
        <v>1840.7</v>
      </c>
      <c r="H22" s="22"/>
      <c r="I22" s="21"/>
      <c r="J22" s="22">
        <v>1846.7</v>
      </c>
      <c r="K22" s="22"/>
      <c r="L22" s="23">
        <f t="shared" si="12"/>
        <v>0</v>
      </c>
      <c r="M22" s="22">
        <f t="shared" si="13"/>
        <v>6</v>
      </c>
      <c r="N22" s="24">
        <v>5</v>
      </c>
      <c r="O22" s="25">
        <v>1</v>
      </c>
      <c r="P22" s="25">
        <f>+IF(J22&gt;0,O22*0.8)</f>
        <v>0.8</v>
      </c>
      <c r="Q22" s="26"/>
      <c r="R22" s="26"/>
      <c r="S22" s="26"/>
      <c r="T22" s="27"/>
      <c r="U22" s="83">
        <f t="shared" si="14"/>
        <v>29.2</v>
      </c>
      <c r="V22" s="22">
        <f>SUM(U22:U26)</f>
        <v>43.4</v>
      </c>
      <c r="W22" s="74">
        <f>+Tabla1[[#This Row],[RESULTADO DEL DÍA]]+W17</f>
        <v>2272.6</v>
      </c>
      <c r="X22" s="22">
        <f>+X17+Tabla1[[#This Row],[Objetivo presupuestado]]</f>
        <v>2350</v>
      </c>
      <c r="Y22" s="22">
        <f>IF(AF22=0,"0",10)</f>
        <v>10</v>
      </c>
      <c r="Z22" s="22">
        <f>IF(AF22=0,"0",50)</f>
        <v>50</v>
      </c>
      <c r="AA22" s="27">
        <f>+IFERROR(AF25/(AG25*-1),AF25)</f>
        <v>9</v>
      </c>
      <c r="AB22" s="75">
        <f>+IFERROR(AF26/AF22,"0")</f>
        <v>1</v>
      </c>
      <c r="AC22" s="29">
        <f t="shared" si="15"/>
        <v>1</v>
      </c>
      <c r="AD22" s="30">
        <f t="shared" si="16"/>
        <v>6</v>
      </c>
      <c r="AE22" s="30" t="str">
        <f t="shared" si="17"/>
        <v/>
      </c>
      <c r="AF22" s="9">
        <f>+COUNTIF(AC22:AC26,"1")</f>
        <v>2</v>
      </c>
    </row>
    <row r="23" spans="1:33" ht="20.25" customHeight="1" x14ac:dyDescent="0.2">
      <c r="A23" s="31">
        <f>+A22</f>
        <v>44159</v>
      </c>
      <c r="B23" s="32">
        <f t="shared" si="10"/>
        <v>48</v>
      </c>
      <c r="C23" s="62">
        <f t="shared" si="11"/>
        <v>44159</v>
      </c>
      <c r="D23" s="19">
        <v>2</v>
      </c>
      <c r="E23" s="20" t="s">
        <v>25</v>
      </c>
      <c r="F23" s="21"/>
      <c r="G23" s="22">
        <v>1850.7</v>
      </c>
      <c r="H23" s="22"/>
      <c r="I23" s="21"/>
      <c r="J23" s="22">
        <v>1853.7</v>
      </c>
      <c r="K23" s="22"/>
      <c r="L23" s="23">
        <f t="shared" si="12"/>
        <v>0</v>
      </c>
      <c r="M23" s="22">
        <f t="shared" si="13"/>
        <v>3</v>
      </c>
      <c r="N23" s="24">
        <v>5</v>
      </c>
      <c r="O23" s="25">
        <v>1</v>
      </c>
      <c r="P23" s="25">
        <f>+IF(J23&gt;0,O23*0.8)</f>
        <v>0.8</v>
      </c>
      <c r="Q23" s="26"/>
      <c r="R23" s="26"/>
      <c r="S23" s="26"/>
      <c r="T23" s="27"/>
      <c r="U23" s="83">
        <f t="shared" si="14"/>
        <v>14.2</v>
      </c>
      <c r="V23" s="22"/>
      <c r="W23" s="22"/>
      <c r="X23" s="40"/>
      <c r="Y23" s="22"/>
      <c r="Z23" s="40"/>
      <c r="AA23" s="73"/>
      <c r="AB23" s="73"/>
      <c r="AC23" s="29">
        <f t="shared" si="15"/>
        <v>1</v>
      </c>
      <c r="AD23" s="30">
        <f t="shared" si="16"/>
        <v>3</v>
      </c>
      <c r="AE23" s="30" t="str">
        <f t="shared" si="17"/>
        <v/>
      </c>
      <c r="AF23" s="2"/>
    </row>
    <row r="24" spans="1:33" ht="20.25" customHeight="1" x14ac:dyDescent="0.2">
      <c r="A24" s="31">
        <f>+A23</f>
        <v>44159</v>
      </c>
      <c r="B24" s="32">
        <f t="shared" si="10"/>
        <v>48</v>
      </c>
      <c r="C24" s="62">
        <f t="shared" si="11"/>
        <v>44159</v>
      </c>
      <c r="D24" s="19">
        <v>3</v>
      </c>
      <c r="E24" s="20"/>
      <c r="F24" s="21"/>
      <c r="G24" s="22"/>
      <c r="H24" s="22"/>
      <c r="I24" s="21"/>
      <c r="J24" s="22"/>
      <c r="K24" s="22"/>
      <c r="L24" s="23">
        <f t="shared" si="12"/>
        <v>0</v>
      </c>
      <c r="M24" s="22">
        <f t="shared" si="13"/>
        <v>0</v>
      </c>
      <c r="N24" s="24">
        <v>5</v>
      </c>
      <c r="O24" s="25">
        <v>1</v>
      </c>
      <c r="P24" s="25">
        <f t="shared" si="18"/>
        <v>0</v>
      </c>
      <c r="Q24" s="26"/>
      <c r="R24" s="26"/>
      <c r="S24" s="26"/>
      <c r="T24" s="27"/>
      <c r="U24" s="28">
        <f t="shared" si="14"/>
        <v>0</v>
      </c>
      <c r="V24" s="22"/>
      <c r="W24" s="22"/>
      <c r="X24" s="40"/>
      <c r="Y24" s="22"/>
      <c r="Z24" s="40"/>
      <c r="AA24" s="40"/>
      <c r="AB24" s="40"/>
      <c r="AC24" s="29" t="str">
        <f t="shared" si="15"/>
        <v/>
      </c>
      <c r="AD24" s="30" t="str">
        <f t="shared" si="16"/>
        <v/>
      </c>
      <c r="AE24" s="30" t="str">
        <f t="shared" si="17"/>
        <v/>
      </c>
      <c r="AF24" s="2"/>
    </row>
    <row r="25" spans="1:33" ht="20.25" customHeight="1" x14ac:dyDescent="0.2">
      <c r="A25" s="31">
        <f>+A24</f>
        <v>44159</v>
      </c>
      <c r="B25" s="32">
        <f t="shared" si="10"/>
        <v>48</v>
      </c>
      <c r="C25" s="62">
        <f t="shared" si="11"/>
        <v>44159</v>
      </c>
      <c r="D25" s="19">
        <v>4</v>
      </c>
      <c r="E25" s="20"/>
      <c r="F25" s="21"/>
      <c r="G25" s="22"/>
      <c r="H25" s="22"/>
      <c r="I25" s="21"/>
      <c r="J25" s="22"/>
      <c r="K25" s="22"/>
      <c r="L25" s="23">
        <f t="shared" si="12"/>
        <v>0</v>
      </c>
      <c r="M25" s="22">
        <f t="shared" si="13"/>
        <v>0</v>
      </c>
      <c r="N25" s="24">
        <v>5</v>
      </c>
      <c r="O25" s="25">
        <v>1</v>
      </c>
      <c r="P25" s="25">
        <f t="shared" si="18"/>
        <v>0</v>
      </c>
      <c r="Q25" s="26"/>
      <c r="R25" s="26"/>
      <c r="S25" s="26"/>
      <c r="T25" s="27"/>
      <c r="U25" s="28">
        <f t="shared" si="14"/>
        <v>0</v>
      </c>
      <c r="V25" s="22"/>
      <c r="W25" s="22"/>
      <c r="X25" s="40"/>
      <c r="Y25" s="22"/>
      <c r="Z25" s="40"/>
      <c r="AA25" s="40"/>
      <c r="AB25" s="40"/>
      <c r="AC25" s="29" t="str">
        <f t="shared" si="15"/>
        <v/>
      </c>
      <c r="AD25" s="30" t="str">
        <f t="shared" si="16"/>
        <v/>
      </c>
      <c r="AE25" s="30" t="str">
        <f t="shared" si="17"/>
        <v/>
      </c>
      <c r="AF25" s="6">
        <f>+SUM(AD22:AD26)</f>
        <v>9</v>
      </c>
      <c r="AG25" s="6">
        <f>+SUM(AE21:AE26)</f>
        <v>0</v>
      </c>
    </row>
    <row r="26" spans="1:33" ht="20.25" customHeight="1" x14ac:dyDescent="0.2">
      <c r="A26" s="33">
        <f>+A25</f>
        <v>44159</v>
      </c>
      <c r="B26" s="34">
        <f t="shared" si="10"/>
        <v>48</v>
      </c>
      <c r="C26" s="63">
        <f t="shared" si="11"/>
        <v>44159</v>
      </c>
      <c r="D26" s="19">
        <v>5</v>
      </c>
      <c r="E26" s="20"/>
      <c r="F26" s="21"/>
      <c r="G26" s="22"/>
      <c r="H26" s="22"/>
      <c r="I26" s="21"/>
      <c r="J26" s="22"/>
      <c r="K26" s="22"/>
      <c r="L26" s="23">
        <f t="shared" si="12"/>
        <v>0</v>
      </c>
      <c r="M26" s="22">
        <f t="shared" si="13"/>
        <v>0</v>
      </c>
      <c r="N26" s="24">
        <v>5</v>
      </c>
      <c r="O26" s="25">
        <v>1</v>
      </c>
      <c r="P26" s="25">
        <f t="shared" si="18"/>
        <v>0</v>
      </c>
      <c r="Q26" s="26"/>
      <c r="R26" s="26"/>
      <c r="S26" s="26"/>
      <c r="T26" s="27"/>
      <c r="U26" s="28">
        <f t="shared" si="14"/>
        <v>0</v>
      </c>
      <c r="V26" s="22"/>
      <c r="W26" s="22"/>
      <c r="X26" s="40"/>
      <c r="Y26" s="22"/>
      <c r="Z26" s="40"/>
      <c r="AA26" s="40"/>
      <c r="AB26" s="40"/>
      <c r="AC26" s="29" t="str">
        <f t="shared" si="15"/>
        <v/>
      </c>
      <c r="AD26" s="30" t="str">
        <f t="shared" si="16"/>
        <v/>
      </c>
      <c r="AE26" s="30" t="str">
        <f t="shared" si="17"/>
        <v/>
      </c>
      <c r="AF26" s="7">
        <f>+COUNT(AD22:AD26)</f>
        <v>2</v>
      </c>
      <c r="AG26" s="7">
        <f>+COUNT(AE21:AE26)</f>
        <v>0</v>
      </c>
    </row>
    <row r="27" spans="1:33" ht="20.25" customHeight="1" x14ac:dyDescent="0.2">
      <c r="A27" s="17">
        <f>+A22+1</f>
        <v>44160</v>
      </c>
      <c r="B27" s="18">
        <f>WEEKNUM(A27,2)</f>
        <v>48</v>
      </c>
      <c r="C27" s="61">
        <f t="shared" si="11"/>
        <v>44160</v>
      </c>
      <c r="D27" s="19">
        <v>1</v>
      </c>
      <c r="E27" s="20" t="s">
        <v>25</v>
      </c>
      <c r="F27" s="21">
        <v>44160.465358796297</v>
      </c>
      <c r="G27" s="22">
        <v>1838.1</v>
      </c>
      <c r="H27" s="22"/>
      <c r="I27" s="21">
        <v>44160.487719907411</v>
      </c>
      <c r="J27" s="22">
        <v>1839.8</v>
      </c>
      <c r="K27" s="22"/>
      <c r="L27" s="23">
        <f t="shared" si="12"/>
        <v>2.2361111114150845E-2</v>
      </c>
      <c r="M27" s="22">
        <f t="shared" si="13"/>
        <v>1.7000000000000455</v>
      </c>
      <c r="N27" s="24">
        <v>5</v>
      </c>
      <c r="O27" s="25">
        <v>1</v>
      </c>
      <c r="P27" s="25">
        <f>+IF(J27&gt;0,O27*0.8,0)</f>
        <v>0.8</v>
      </c>
      <c r="Q27" s="26"/>
      <c r="R27" s="26"/>
      <c r="S27" s="26"/>
      <c r="T27" s="27"/>
      <c r="U27" s="83">
        <f t="shared" si="14"/>
        <v>7.7000000000002276</v>
      </c>
      <c r="V27" s="22">
        <f>SUM(U27:U31)</f>
        <v>7.7000000000002276</v>
      </c>
      <c r="W27" s="74">
        <f>+Tabla1[[#This Row],[RESULTADO DEL DÍA]]+W22</f>
        <v>2280.3000000000002</v>
      </c>
      <c r="X27" s="22">
        <f>+X22+Tabla1[[#This Row],[Objetivo presupuestado]]</f>
        <v>2400</v>
      </c>
      <c r="Y27" s="22">
        <f>IF(AF27=0,"0",10)</f>
        <v>10</v>
      </c>
      <c r="Z27" s="22">
        <f>IF(AF27=0,"0",50)</f>
        <v>50</v>
      </c>
      <c r="AA27" s="27">
        <f>+IFERROR(AF30/(AG30*-1),AF30)</f>
        <v>1.7000000000000455</v>
      </c>
      <c r="AB27" s="75">
        <f>+IFERROR(AF31/AF27,"0")</f>
        <v>1</v>
      </c>
      <c r="AC27" s="29">
        <f t="shared" si="15"/>
        <v>1</v>
      </c>
      <c r="AD27" s="30">
        <f t="shared" si="16"/>
        <v>1.7000000000000455</v>
      </c>
      <c r="AE27" s="30" t="str">
        <f t="shared" si="17"/>
        <v/>
      </c>
      <c r="AF27" s="9">
        <f>+COUNTIF(AC27:AC31,"1")</f>
        <v>1</v>
      </c>
    </row>
    <row r="28" spans="1:33" ht="20.25" customHeight="1" x14ac:dyDescent="0.2">
      <c r="A28" s="31">
        <f>+A27</f>
        <v>44160</v>
      </c>
      <c r="B28" s="32">
        <f t="shared" si="10"/>
        <v>48</v>
      </c>
      <c r="C28" s="62">
        <f t="shared" si="11"/>
        <v>44160</v>
      </c>
      <c r="D28" s="19">
        <v>2</v>
      </c>
      <c r="E28" s="20"/>
      <c r="F28" s="21"/>
      <c r="G28" s="22"/>
      <c r="H28" s="22"/>
      <c r="I28" s="21"/>
      <c r="J28" s="22"/>
      <c r="K28" s="22"/>
      <c r="L28" s="23">
        <f t="shared" si="12"/>
        <v>0</v>
      </c>
      <c r="M28" s="22">
        <f t="shared" si="13"/>
        <v>0</v>
      </c>
      <c r="N28" s="24">
        <v>5</v>
      </c>
      <c r="O28" s="25">
        <v>1</v>
      </c>
      <c r="P28" s="25">
        <f t="shared" si="18"/>
        <v>0</v>
      </c>
      <c r="Q28" s="26"/>
      <c r="R28" s="26"/>
      <c r="S28" s="26"/>
      <c r="T28" s="27"/>
      <c r="U28" s="28">
        <f t="shared" si="14"/>
        <v>0</v>
      </c>
      <c r="V28" s="22"/>
      <c r="W28" s="22"/>
      <c r="X28" s="40"/>
      <c r="Y28" s="22"/>
      <c r="Z28" s="40"/>
      <c r="AA28" s="73"/>
      <c r="AB28" s="73"/>
      <c r="AC28" s="29" t="str">
        <f t="shared" si="15"/>
        <v/>
      </c>
      <c r="AD28" s="30" t="str">
        <f t="shared" si="16"/>
        <v/>
      </c>
      <c r="AE28" s="30" t="str">
        <f t="shared" si="17"/>
        <v/>
      </c>
      <c r="AF28" s="2"/>
    </row>
    <row r="29" spans="1:33" ht="20.25" customHeight="1" x14ac:dyDescent="0.2">
      <c r="A29" s="31">
        <f>+A28</f>
        <v>44160</v>
      </c>
      <c r="B29" s="32">
        <f t="shared" si="10"/>
        <v>48</v>
      </c>
      <c r="C29" s="62">
        <f t="shared" si="11"/>
        <v>44160</v>
      </c>
      <c r="D29" s="19">
        <v>3</v>
      </c>
      <c r="E29" s="20"/>
      <c r="F29" s="21"/>
      <c r="G29" s="22"/>
      <c r="H29" s="22"/>
      <c r="I29" s="21"/>
      <c r="J29" s="22"/>
      <c r="K29" s="22"/>
      <c r="L29" s="23">
        <f t="shared" si="12"/>
        <v>0</v>
      </c>
      <c r="M29" s="22">
        <f t="shared" si="13"/>
        <v>0</v>
      </c>
      <c r="N29" s="24">
        <v>5</v>
      </c>
      <c r="O29" s="25">
        <v>1</v>
      </c>
      <c r="P29" s="25">
        <f t="shared" si="18"/>
        <v>0</v>
      </c>
      <c r="Q29" s="26"/>
      <c r="R29" s="26"/>
      <c r="S29" s="26"/>
      <c r="T29" s="27"/>
      <c r="U29" s="28">
        <f t="shared" si="14"/>
        <v>0</v>
      </c>
      <c r="V29" s="22"/>
      <c r="W29" s="22"/>
      <c r="X29" s="40"/>
      <c r="Y29" s="22"/>
      <c r="Z29" s="40"/>
      <c r="AA29" s="40"/>
      <c r="AB29" s="40"/>
      <c r="AC29" s="29" t="str">
        <f t="shared" si="15"/>
        <v/>
      </c>
      <c r="AD29" s="30" t="str">
        <f t="shared" si="16"/>
        <v/>
      </c>
      <c r="AE29" s="30" t="str">
        <f t="shared" si="17"/>
        <v/>
      </c>
      <c r="AF29" s="2"/>
    </row>
    <row r="30" spans="1:33" ht="20.25" customHeight="1" x14ac:dyDescent="0.2">
      <c r="A30" s="31">
        <f>+A29</f>
        <v>44160</v>
      </c>
      <c r="B30" s="32">
        <f t="shared" si="10"/>
        <v>48</v>
      </c>
      <c r="C30" s="62">
        <f t="shared" si="11"/>
        <v>44160</v>
      </c>
      <c r="D30" s="19">
        <v>4</v>
      </c>
      <c r="E30" s="20"/>
      <c r="F30" s="21"/>
      <c r="G30" s="22"/>
      <c r="H30" s="22"/>
      <c r="I30" s="21"/>
      <c r="J30" s="22"/>
      <c r="K30" s="22"/>
      <c r="L30" s="23">
        <f t="shared" si="12"/>
        <v>0</v>
      </c>
      <c r="M30" s="22">
        <f t="shared" si="13"/>
        <v>0</v>
      </c>
      <c r="N30" s="24">
        <v>5</v>
      </c>
      <c r="O30" s="25">
        <v>1</v>
      </c>
      <c r="P30" s="25">
        <f t="shared" si="18"/>
        <v>0</v>
      </c>
      <c r="Q30" s="26"/>
      <c r="R30" s="26"/>
      <c r="S30" s="26"/>
      <c r="T30" s="27"/>
      <c r="U30" s="28">
        <f t="shared" si="14"/>
        <v>0</v>
      </c>
      <c r="V30" s="22"/>
      <c r="W30" s="22"/>
      <c r="X30" s="40"/>
      <c r="Y30" s="22"/>
      <c r="Z30" s="40"/>
      <c r="AA30" s="40"/>
      <c r="AB30" s="40"/>
      <c r="AC30" s="29" t="str">
        <f t="shared" si="15"/>
        <v/>
      </c>
      <c r="AD30" s="30" t="str">
        <f t="shared" si="16"/>
        <v/>
      </c>
      <c r="AE30" s="30" t="str">
        <f t="shared" si="17"/>
        <v/>
      </c>
      <c r="AF30" s="6">
        <f>+SUM(AD27:AD31)</f>
        <v>1.7000000000000455</v>
      </c>
      <c r="AG30" s="6">
        <f>+SUM(AE26:AE31)</f>
        <v>0</v>
      </c>
    </row>
    <row r="31" spans="1:33" ht="20.25" customHeight="1" x14ac:dyDescent="0.2">
      <c r="A31" s="33">
        <f>+A30</f>
        <v>44160</v>
      </c>
      <c r="B31" s="34">
        <f t="shared" si="10"/>
        <v>48</v>
      </c>
      <c r="C31" s="63">
        <f t="shared" si="11"/>
        <v>44160</v>
      </c>
      <c r="D31" s="19">
        <v>5</v>
      </c>
      <c r="E31" s="20"/>
      <c r="F31" s="21"/>
      <c r="G31" s="22"/>
      <c r="H31" s="22"/>
      <c r="I31" s="21"/>
      <c r="J31" s="22"/>
      <c r="K31" s="22"/>
      <c r="L31" s="23">
        <f t="shared" si="12"/>
        <v>0</v>
      </c>
      <c r="M31" s="22">
        <f t="shared" si="13"/>
        <v>0</v>
      </c>
      <c r="N31" s="24">
        <v>5</v>
      </c>
      <c r="O31" s="25">
        <v>1</v>
      </c>
      <c r="P31" s="25">
        <f t="shared" si="18"/>
        <v>0</v>
      </c>
      <c r="Q31" s="26"/>
      <c r="R31" s="26"/>
      <c r="S31" s="26"/>
      <c r="T31" s="27"/>
      <c r="U31" s="28">
        <f t="shared" si="14"/>
        <v>0</v>
      </c>
      <c r="V31" s="22"/>
      <c r="W31" s="22"/>
      <c r="X31" s="40"/>
      <c r="Y31" s="22"/>
      <c r="Z31" s="40"/>
      <c r="AA31" s="40"/>
      <c r="AB31" s="40"/>
      <c r="AC31" s="29" t="str">
        <f t="shared" si="15"/>
        <v/>
      </c>
      <c r="AD31" s="30" t="str">
        <f t="shared" si="16"/>
        <v/>
      </c>
      <c r="AE31" s="30" t="str">
        <f t="shared" si="17"/>
        <v/>
      </c>
      <c r="AF31" s="7">
        <f>+COUNT(AD27:AD31)</f>
        <v>1</v>
      </c>
      <c r="AG31" s="7">
        <f>+COUNT(AE26:AE31)</f>
        <v>0</v>
      </c>
    </row>
    <row r="32" spans="1:33" ht="20.25" customHeight="1" x14ac:dyDescent="0.2">
      <c r="A32" s="17">
        <f>+A27+1</f>
        <v>44161</v>
      </c>
      <c r="B32" s="18">
        <f>WEEKNUM(A32,2)</f>
        <v>48</v>
      </c>
      <c r="C32" s="61">
        <f t="shared" si="11"/>
        <v>44161</v>
      </c>
      <c r="D32" s="19">
        <v>1</v>
      </c>
      <c r="E32" s="20"/>
      <c r="F32" s="21"/>
      <c r="G32" s="22"/>
      <c r="H32" s="22"/>
      <c r="I32" s="21"/>
      <c r="J32" s="22"/>
      <c r="K32" s="22"/>
      <c r="L32" s="23">
        <f t="shared" si="12"/>
        <v>0</v>
      </c>
      <c r="M32" s="22">
        <f t="shared" si="13"/>
        <v>0</v>
      </c>
      <c r="N32" s="24">
        <v>5</v>
      </c>
      <c r="O32" s="25">
        <v>1</v>
      </c>
      <c r="P32" s="25">
        <f t="shared" si="18"/>
        <v>0</v>
      </c>
      <c r="Q32" s="26"/>
      <c r="R32" s="26"/>
      <c r="S32" s="26"/>
      <c r="T32" s="27"/>
      <c r="U32" s="28">
        <f t="shared" si="14"/>
        <v>0</v>
      </c>
      <c r="V32" s="22">
        <f>SUM(U32:U36)</f>
        <v>0</v>
      </c>
      <c r="W32" s="74">
        <f>+Tabla1[[#This Row],[RESULTADO DEL DÍA]]+W27</f>
        <v>2280.3000000000002</v>
      </c>
      <c r="X32" s="22">
        <f>+X27+Tabla1[[#This Row],[Objetivo presupuestado]]</f>
        <v>2400</v>
      </c>
      <c r="Y32" s="22" t="str">
        <f>IF(AF32=0,"0",10)</f>
        <v>0</v>
      </c>
      <c r="Z32" s="22" t="str">
        <f>IF(AF32=0,"0",50)</f>
        <v>0</v>
      </c>
      <c r="AA32" s="27">
        <f>+IFERROR(AF35/(AG35*-1),AF35)</f>
        <v>0</v>
      </c>
      <c r="AB32" s="75" t="str">
        <f>+IFERROR(AF36/AF32,"0")</f>
        <v>0</v>
      </c>
      <c r="AC32" s="29" t="str">
        <f t="shared" si="15"/>
        <v/>
      </c>
      <c r="AD32" s="30" t="str">
        <f t="shared" si="16"/>
        <v/>
      </c>
      <c r="AE32" s="30" t="str">
        <f t="shared" si="17"/>
        <v/>
      </c>
      <c r="AF32" s="9">
        <f>+COUNTIF(AC32:AC36,"1")</f>
        <v>0</v>
      </c>
    </row>
    <row r="33" spans="1:33" ht="20.25" customHeight="1" x14ac:dyDescent="0.2">
      <c r="A33" s="31">
        <f>+A32</f>
        <v>44161</v>
      </c>
      <c r="B33" s="32">
        <f t="shared" si="10"/>
        <v>48</v>
      </c>
      <c r="C33" s="62">
        <f t="shared" si="11"/>
        <v>44161</v>
      </c>
      <c r="D33" s="19">
        <v>2</v>
      </c>
      <c r="E33" s="20"/>
      <c r="F33" s="21"/>
      <c r="G33" s="22"/>
      <c r="H33" s="22"/>
      <c r="I33" s="21"/>
      <c r="J33" s="22"/>
      <c r="K33" s="22"/>
      <c r="L33" s="23">
        <f t="shared" si="12"/>
        <v>0</v>
      </c>
      <c r="M33" s="22">
        <f t="shared" si="13"/>
        <v>0</v>
      </c>
      <c r="N33" s="24">
        <v>5</v>
      </c>
      <c r="O33" s="25">
        <v>1</v>
      </c>
      <c r="P33" s="25">
        <f t="shared" si="18"/>
        <v>0</v>
      </c>
      <c r="Q33" s="26"/>
      <c r="R33" s="26"/>
      <c r="S33" s="26"/>
      <c r="T33" s="27"/>
      <c r="U33" s="28">
        <f t="shared" si="14"/>
        <v>0</v>
      </c>
      <c r="V33" s="22"/>
      <c r="W33" s="22"/>
      <c r="X33" s="40"/>
      <c r="Y33" s="22"/>
      <c r="Z33" s="40"/>
      <c r="AA33" s="73"/>
      <c r="AB33" s="73"/>
      <c r="AC33" s="29" t="str">
        <f t="shared" si="15"/>
        <v/>
      </c>
      <c r="AD33" s="30" t="str">
        <f t="shared" si="16"/>
        <v/>
      </c>
      <c r="AE33" s="30" t="str">
        <f t="shared" si="17"/>
        <v/>
      </c>
      <c r="AF33" s="2"/>
    </row>
    <row r="34" spans="1:33" ht="20.25" customHeight="1" x14ac:dyDescent="0.2">
      <c r="A34" s="31">
        <f>+A33</f>
        <v>44161</v>
      </c>
      <c r="B34" s="32">
        <f t="shared" si="10"/>
        <v>48</v>
      </c>
      <c r="C34" s="62">
        <f t="shared" si="11"/>
        <v>44161</v>
      </c>
      <c r="D34" s="19">
        <v>3</v>
      </c>
      <c r="E34" s="20"/>
      <c r="F34" s="21"/>
      <c r="G34" s="22"/>
      <c r="H34" s="22"/>
      <c r="I34" s="21"/>
      <c r="J34" s="22"/>
      <c r="K34" s="22"/>
      <c r="L34" s="23">
        <f t="shared" si="12"/>
        <v>0</v>
      </c>
      <c r="M34" s="22">
        <f t="shared" si="13"/>
        <v>0</v>
      </c>
      <c r="N34" s="24">
        <v>5</v>
      </c>
      <c r="O34" s="25">
        <v>1</v>
      </c>
      <c r="P34" s="25">
        <f t="shared" si="18"/>
        <v>0</v>
      </c>
      <c r="Q34" s="26"/>
      <c r="R34" s="26"/>
      <c r="S34" s="26"/>
      <c r="T34" s="27"/>
      <c r="U34" s="28">
        <f t="shared" si="14"/>
        <v>0</v>
      </c>
      <c r="V34" s="22"/>
      <c r="W34" s="22"/>
      <c r="X34" s="40"/>
      <c r="Y34" s="22"/>
      <c r="Z34" s="40"/>
      <c r="AA34" s="40"/>
      <c r="AB34" s="40"/>
      <c r="AC34" s="29" t="str">
        <f t="shared" si="15"/>
        <v/>
      </c>
      <c r="AD34" s="30" t="str">
        <f t="shared" si="16"/>
        <v/>
      </c>
      <c r="AE34" s="30" t="str">
        <f t="shared" si="17"/>
        <v/>
      </c>
      <c r="AF34" s="2"/>
    </row>
    <row r="35" spans="1:33" ht="20.25" customHeight="1" x14ac:dyDescent="0.2">
      <c r="A35" s="31">
        <f>+A34</f>
        <v>44161</v>
      </c>
      <c r="B35" s="32">
        <f t="shared" si="10"/>
        <v>48</v>
      </c>
      <c r="C35" s="62">
        <f t="shared" si="11"/>
        <v>44161</v>
      </c>
      <c r="D35" s="19">
        <v>4</v>
      </c>
      <c r="E35" s="20"/>
      <c r="F35" s="21"/>
      <c r="G35" s="22"/>
      <c r="H35" s="22"/>
      <c r="I35" s="21"/>
      <c r="J35" s="22"/>
      <c r="K35" s="22"/>
      <c r="L35" s="23">
        <f t="shared" si="12"/>
        <v>0</v>
      </c>
      <c r="M35" s="22">
        <f t="shared" si="13"/>
        <v>0</v>
      </c>
      <c r="N35" s="24">
        <v>5</v>
      </c>
      <c r="O35" s="25">
        <v>1</v>
      </c>
      <c r="P35" s="25">
        <f t="shared" si="18"/>
        <v>0</v>
      </c>
      <c r="Q35" s="26"/>
      <c r="R35" s="26"/>
      <c r="S35" s="26"/>
      <c r="T35" s="27"/>
      <c r="U35" s="28">
        <f t="shared" si="14"/>
        <v>0</v>
      </c>
      <c r="V35" s="22"/>
      <c r="W35" s="22"/>
      <c r="X35" s="40"/>
      <c r="Y35" s="22"/>
      <c r="Z35" s="40"/>
      <c r="AA35" s="40"/>
      <c r="AB35" s="40"/>
      <c r="AC35" s="29" t="str">
        <f t="shared" si="15"/>
        <v/>
      </c>
      <c r="AD35" s="30" t="str">
        <f t="shared" si="16"/>
        <v/>
      </c>
      <c r="AE35" s="30" t="str">
        <f t="shared" si="17"/>
        <v/>
      </c>
      <c r="AF35" s="6">
        <f>+SUM(AD32:AD36)</f>
        <v>0</v>
      </c>
      <c r="AG35" s="6">
        <f>+SUM(AE31:AE36)</f>
        <v>0</v>
      </c>
    </row>
    <row r="36" spans="1:33" ht="20.25" customHeight="1" x14ac:dyDescent="0.2">
      <c r="A36" s="33">
        <f>+A35</f>
        <v>44161</v>
      </c>
      <c r="B36" s="34">
        <f t="shared" si="10"/>
        <v>48</v>
      </c>
      <c r="C36" s="63">
        <f t="shared" si="11"/>
        <v>44161</v>
      </c>
      <c r="D36" s="19">
        <v>5</v>
      </c>
      <c r="E36" s="20"/>
      <c r="F36" s="21"/>
      <c r="G36" s="22"/>
      <c r="H36" s="22"/>
      <c r="I36" s="21"/>
      <c r="J36" s="22"/>
      <c r="K36" s="22"/>
      <c r="L36" s="23">
        <f t="shared" si="12"/>
        <v>0</v>
      </c>
      <c r="M36" s="22">
        <f t="shared" si="13"/>
        <v>0</v>
      </c>
      <c r="N36" s="24">
        <v>5</v>
      </c>
      <c r="O36" s="25">
        <v>1</v>
      </c>
      <c r="P36" s="25">
        <f t="shared" si="18"/>
        <v>0</v>
      </c>
      <c r="Q36" s="26"/>
      <c r="R36" s="26"/>
      <c r="S36" s="26"/>
      <c r="T36" s="27"/>
      <c r="U36" s="28">
        <f t="shared" si="14"/>
        <v>0</v>
      </c>
      <c r="V36" s="22"/>
      <c r="W36" s="22"/>
      <c r="X36" s="40"/>
      <c r="Y36" s="22"/>
      <c r="Z36" s="40"/>
      <c r="AA36" s="40"/>
      <c r="AB36" s="40"/>
      <c r="AC36" s="29" t="str">
        <f t="shared" si="15"/>
        <v/>
      </c>
      <c r="AD36" s="30" t="str">
        <f t="shared" si="16"/>
        <v/>
      </c>
      <c r="AE36" s="30" t="str">
        <f t="shared" si="17"/>
        <v/>
      </c>
      <c r="AF36" s="7">
        <f>+COUNT(AD32:AD36)</f>
        <v>0</v>
      </c>
      <c r="AG36" s="7">
        <f>+COUNT(AE31:AE36)</f>
        <v>0</v>
      </c>
    </row>
    <row r="37" spans="1:33" ht="20.25" customHeight="1" x14ac:dyDescent="0.2">
      <c r="A37" s="17">
        <f>+A32+1</f>
        <v>44162</v>
      </c>
      <c r="B37" s="18">
        <f>WEEKNUM(A37,2)</f>
        <v>48</v>
      </c>
      <c r="C37" s="61">
        <f t="shared" si="11"/>
        <v>44162</v>
      </c>
      <c r="D37" s="19">
        <v>1</v>
      </c>
      <c r="E37" s="20" t="s">
        <v>25</v>
      </c>
      <c r="F37" s="21">
        <v>44162.486192129632</v>
      </c>
      <c r="G37" s="22">
        <v>1846.7</v>
      </c>
      <c r="H37" s="22"/>
      <c r="I37" s="21">
        <v>44162.502962962964</v>
      </c>
      <c r="J37" s="22">
        <v>1848.6</v>
      </c>
      <c r="K37" s="35"/>
      <c r="L37" s="23">
        <f t="shared" si="12"/>
        <v>1.6770833331975155E-2</v>
      </c>
      <c r="M37" s="22">
        <f t="shared" si="13"/>
        <v>1.8999999999998636</v>
      </c>
      <c r="N37" s="24">
        <v>5</v>
      </c>
      <c r="O37" s="25">
        <v>1</v>
      </c>
      <c r="P37" s="25">
        <f>+IF(J37&gt;0,O37*0.8,0)</f>
        <v>0.8</v>
      </c>
      <c r="Q37" s="26"/>
      <c r="R37" s="26"/>
      <c r="S37" s="26"/>
      <c r="T37" s="27"/>
      <c r="U37" s="83">
        <f>+O37*N37*M37-P37</f>
        <v>8.6999999999993172</v>
      </c>
      <c r="V37" s="22">
        <f>SUM(U37:U41)</f>
        <v>8.6999999999993172</v>
      </c>
      <c r="W37" s="74">
        <f>+Tabla1[[#This Row],[RESULTADO DEL DÍA]]+W32</f>
        <v>2288.9999999999995</v>
      </c>
      <c r="X37" s="22">
        <f>+X32+Tabla1[[#This Row],[Objetivo presupuestado]]</f>
        <v>2450</v>
      </c>
      <c r="Y37" s="22">
        <f>IF(AF37=0,"0",10)</f>
        <v>10</v>
      </c>
      <c r="Z37" s="22">
        <f>IF(AF37=0,"0",50)</f>
        <v>50</v>
      </c>
      <c r="AA37" s="27">
        <f>+IFERROR(AF40/(AG40*-1),AF40)</f>
        <v>1.8999999999998636</v>
      </c>
      <c r="AB37" s="75">
        <f>+IFERROR(AF41/AF37,"0")</f>
        <v>1</v>
      </c>
      <c r="AC37" s="29">
        <f t="shared" si="15"/>
        <v>1</v>
      </c>
      <c r="AD37" s="30">
        <f t="shared" si="16"/>
        <v>1.8999999999998636</v>
      </c>
      <c r="AE37" s="30" t="str">
        <f t="shared" si="17"/>
        <v/>
      </c>
      <c r="AF37" s="9">
        <f>+COUNTIF(AC37:AC41,"1")</f>
        <v>1</v>
      </c>
    </row>
    <row r="38" spans="1:33" ht="20.25" customHeight="1" x14ac:dyDescent="0.2">
      <c r="A38" s="31">
        <f>+A37</f>
        <v>44162</v>
      </c>
      <c r="B38" s="32">
        <f t="shared" si="10"/>
        <v>48</v>
      </c>
      <c r="C38" s="62">
        <f t="shared" si="11"/>
        <v>44162</v>
      </c>
      <c r="D38" s="19">
        <v>2</v>
      </c>
      <c r="E38" s="20"/>
      <c r="F38" s="21"/>
      <c r="G38" s="22"/>
      <c r="H38" s="22"/>
      <c r="I38" s="21"/>
      <c r="J38" s="22"/>
      <c r="K38" s="35"/>
      <c r="L38" s="23">
        <f t="shared" si="12"/>
        <v>0</v>
      </c>
      <c r="M38" s="22">
        <f t="shared" si="13"/>
        <v>0</v>
      </c>
      <c r="N38" s="24">
        <v>5</v>
      </c>
      <c r="O38" s="25">
        <v>1</v>
      </c>
      <c r="P38" s="25">
        <f t="shared" si="18"/>
        <v>0</v>
      </c>
      <c r="Q38" s="26"/>
      <c r="R38" s="26"/>
      <c r="S38" s="26"/>
      <c r="T38" s="27"/>
      <c r="U38" s="28">
        <f t="shared" si="14"/>
        <v>0</v>
      </c>
      <c r="V38" s="22"/>
      <c r="W38" s="22"/>
      <c r="X38" s="40"/>
      <c r="Y38" s="22"/>
      <c r="Z38" s="40"/>
      <c r="AA38" s="73"/>
      <c r="AB38" s="73"/>
      <c r="AC38" s="29" t="str">
        <f t="shared" si="15"/>
        <v/>
      </c>
      <c r="AD38" s="30" t="str">
        <f t="shared" si="16"/>
        <v/>
      </c>
      <c r="AE38" s="30" t="str">
        <f t="shared" si="17"/>
        <v/>
      </c>
      <c r="AF38" s="2"/>
    </row>
    <row r="39" spans="1:33" ht="20.25" customHeight="1" x14ac:dyDescent="0.2">
      <c r="A39" s="31">
        <f>+A38</f>
        <v>44162</v>
      </c>
      <c r="B39" s="32">
        <f t="shared" si="10"/>
        <v>48</v>
      </c>
      <c r="C39" s="62">
        <f t="shared" si="11"/>
        <v>44162</v>
      </c>
      <c r="D39" s="19">
        <v>3</v>
      </c>
      <c r="E39" s="20"/>
      <c r="F39" s="21"/>
      <c r="G39" s="22"/>
      <c r="H39" s="22"/>
      <c r="I39" s="21"/>
      <c r="J39" s="22"/>
      <c r="K39" s="22"/>
      <c r="L39" s="23">
        <f t="shared" si="12"/>
        <v>0</v>
      </c>
      <c r="M39" s="22">
        <f t="shared" si="13"/>
        <v>0</v>
      </c>
      <c r="N39" s="24">
        <v>5</v>
      </c>
      <c r="O39" s="25">
        <v>1</v>
      </c>
      <c r="P39" s="25">
        <f t="shared" si="18"/>
        <v>0</v>
      </c>
      <c r="Q39" s="26"/>
      <c r="R39" s="26"/>
      <c r="S39" s="26"/>
      <c r="T39" s="27"/>
      <c r="U39" s="28">
        <f t="shared" si="14"/>
        <v>0</v>
      </c>
      <c r="V39" s="22"/>
      <c r="W39" s="22"/>
      <c r="X39" s="40"/>
      <c r="Y39" s="22"/>
      <c r="Z39" s="40"/>
      <c r="AA39" s="40"/>
      <c r="AB39" s="40"/>
      <c r="AC39" s="29" t="str">
        <f t="shared" si="15"/>
        <v/>
      </c>
      <c r="AD39" s="30" t="str">
        <f t="shared" si="16"/>
        <v/>
      </c>
      <c r="AE39" s="30" t="str">
        <f t="shared" si="17"/>
        <v/>
      </c>
      <c r="AF39" s="2"/>
    </row>
    <row r="40" spans="1:33" ht="20.25" customHeight="1" x14ac:dyDescent="0.2">
      <c r="A40" s="31">
        <f>+A39</f>
        <v>44162</v>
      </c>
      <c r="B40" s="32">
        <f t="shared" si="10"/>
        <v>48</v>
      </c>
      <c r="C40" s="62">
        <f t="shared" si="11"/>
        <v>44162</v>
      </c>
      <c r="D40" s="19">
        <v>4</v>
      </c>
      <c r="E40" s="20"/>
      <c r="F40" s="21"/>
      <c r="G40" s="22"/>
      <c r="H40" s="22"/>
      <c r="I40" s="21"/>
      <c r="J40" s="22"/>
      <c r="K40" s="22"/>
      <c r="L40" s="23">
        <f t="shared" si="12"/>
        <v>0</v>
      </c>
      <c r="M40" s="22">
        <f t="shared" si="13"/>
        <v>0</v>
      </c>
      <c r="N40" s="24">
        <v>5</v>
      </c>
      <c r="O40" s="25">
        <v>1</v>
      </c>
      <c r="P40" s="25">
        <f t="shared" si="18"/>
        <v>0</v>
      </c>
      <c r="Q40" s="26"/>
      <c r="R40" s="26"/>
      <c r="S40" s="26"/>
      <c r="T40" s="27"/>
      <c r="U40" s="28">
        <f t="shared" si="14"/>
        <v>0</v>
      </c>
      <c r="V40" s="22"/>
      <c r="W40" s="22"/>
      <c r="X40" s="40"/>
      <c r="Y40" s="22"/>
      <c r="Z40" s="40"/>
      <c r="AA40" s="40"/>
      <c r="AB40" s="40"/>
      <c r="AC40" s="29" t="str">
        <f t="shared" si="15"/>
        <v/>
      </c>
      <c r="AD40" s="30" t="str">
        <f t="shared" si="16"/>
        <v/>
      </c>
      <c r="AE40" s="30" t="str">
        <f t="shared" si="17"/>
        <v/>
      </c>
      <c r="AF40" s="6">
        <f>+SUM(AD37:AD41)</f>
        <v>1.8999999999998636</v>
      </c>
      <c r="AG40" s="6">
        <f>+SUM(AE36:AE41)</f>
        <v>0</v>
      </c>
    </row>
    <row r="41" spans="1:33" ht="20.25" customHeight="1" x14ac:dyDescent="0.2">
      <c r="A41" s="33">
        <f>+A40</f>
        <v>44162</v>
      </c>
      <c r="B41" s="34">
        <f t="shared" si="10"/>
        <v>48</v>
      </c>
      <c r="C41" s="63">
        <f t="shared" si="11"/>
        <v>44162</v>
      </c>
      <c r="D41" s="19">
        <v>5</v>
      </c>
      <c r="E41" s="20"/>
      <c r="F41" s="21"/>
      <c r="G41" s="22"/>
      <c r="H41" s="22"/>
      <c r="I41" s="21"/>
      <c r="J41" s="22"/>
      <c r="K41" s="22"/>
      <c r="L41" s="23">
        <f t="shared" si="12"/>
        <v>0</v>
      </c>
      <c r="M41" s="22">
        <f t="shared" si="13"/>
        <v>0</v>
      </c>
      <c r="N41" s="24">
        <v>5</v>
      </c>
      <c r="O41" s="25">
        <v>1</v>
      </c>
      <c r="P41" s="25">
        <f t="shared" si="18"/>
        <v>0</v>
      </c>
      <c r="Q41" s="26"/>
      <c r="R41" s="26"/>
      <c r="S41" s="26"/>
      <c r="T41" s="27"/>
      <c r="U41" s="28">
        <f t="shared" si="14"/>
        <v>0</v>
      </c>
      <c r="V41" s="22"/>
      <c r="W41" s="22"/>
      <c r="X41" s="40"/>
      <c r="Y41" s="22"/>
      <c r="Z41" s="40"/>
      <c r="AA41" s="40"/>
      <c r="AB41" s="40"/>
      <c r="AC41" s="29" t="str">
        <f t="shared" si="15"/>
        <v/>
      </c>
      <c r="AD41" s="30" t="str">
        <f t="shared" si="16"/>
        <v/>
      </c>
      <c r="AE41" s="30" t="str">
        <f t="shared" si="17"/>
        <v/>
      </c>
      <c r="AF41" s="7">
        <f>+COUNT(AD37:AD41)</f>
        <v>1</v>
      </c>
      <c r="AG41" s="7">
        <f>+COUNT(AE36:AE41)</f>
        <v>0</v>
      </c>
    </row>
    <row r="42" spans="1:33" ht="20.25" customHeight="1" x14ac:dyDescent="0.2">
      <c r="A42" s="17">
        <f>+A37+1</f>
        <v>44163</v>
      </c>
      <c r="B42" s="18">
        <f>WEEKNUM(A42,2)</f>
        <v>48</v>
      </c>
      <c r="C42" s="61">
        <f t="shared" si="11"/>
        <v>44163</v>
      </c>
      <c r="D42" s="19">
        <v>1</v>
      </c>
      <c r="E42" s="20"/>
      <c r="F42" s="21"/>
      <c r="G42" s="22"/>
      <c r="H42" s="22"/>
      <c r="I42" s="21"/>
      <c r="J42" s="22"/>
      <c r="K42" s="35"/>
      <c r="L42" s="23">
        <f t="shared" si="12"/>
        <v>0</v>
      </c>
      <c r="M42" s="22">
        <f t="shared" si="13"/>
        <v>0</v>
      </c>
      <c r="N42" s="24">
        <v>5</v>
      </c>
      <c r="O42" s="25">
        <v>1</v>
      </c>
      <c r="P42" s="25">
        <f t="shared" si="18"/>
        <v>0</v>
      </c>
      <c r="Q42" s="26"/>
      <c r="R42" s="26"/>
      <c r="S42" s="26"/>
      <c r="T42" s="27"/>
      <c r="U42" s="28">
        <f t="shared" si="14"/>
        <v>0</v>
      </c>
      <c r="V42" s="22">
        <f>SUM(U42:U46)</f>
        <v>0</v>
      </c>
      <c r="W42" s="74">
        <f>+Tabla1[[#This Row],[RESULTADO DEL DÍA]]+W37</f>
        <v>2288.9999999999995</v>
      </c>
      <c r="X42" s="22">
        <f>+X37+Tabla1[[#This Row],[Objetivo presupuestado]]</f>
        <v>2450</v>
      </c>
      <c r="Y42" s="22" t="str">
        <f>IF(AF42=0,"0",10)</f>
        <v>0</v>
      </c>
      <c r="Z42" s="22" t="str">
        <f>IF(AF42=0,"0",50)</f>
        <v>0</v>
      </c>
      <c r="AA42" s="27">
        <f>+IFERROR(AF45/(AG45*-1),AF45)</f>
        <v>0</v>
      </c>
      <c r="AB42" s="75" t="str">
        <f>+IFERROR(AF46/AF42,"0")</f>
        <v>0</v>
      </c>
      <c r="AC42" s="29" t="str">
        <f t="shared" si="15"/>
        <v/>
      </c>
      <c r="AD42" s="30" t="str">
        <f t="shared" si="16"/>
        <v/>
      </c>
      <c r="AE42" s="30" t="str">
        <f t="shared" si="17"/>
        <v/>
      </c>
      <c r="AF42" s="9">
        <f>+COUNTIF(AC42:AC46,"1")</f>
        <v>0</v>
      </c>
    </row>
    <row r="43" spans="1:33" ht="20.25" customHeight="1" x14ac:dyDescent="0.2">
      <c r="A43" s="31">
        <f>+A42</f>
        <v>44163</v>
      </c>
      <c r="B43" s="32">
        <f t="shared" si="10"/>
        <v>48</v>
      </c>
      <c r="C43" s="62">
        <f t="shared" si="11"/>
        <v>44163</v>
      </c>
      <c r="D43" s="19">
        <v>2</v>
      </c>
      <c r="E43" s="20"/>
      <c r="F43" s="21"/>
      <c r="G43" s="22"/>
      <c r="H43" s="22"/>
      <c r="I43" s="21"/>
      <c r="J43" s="22"/>
      <c r="K43" s="35"/>
      <c r="L43" s="23">
        <f t="shared" si="12"/>
        <v>0</v>
      </c>
      <c r="M43" s="22">
        <f t="shared" si="13"/>
        <v>0</v>
      </c>
      <c r="N43" s="24">
        <v>5</v>
      </c>
      <c r="O43" s="25">
        <v>1</v>
      </c>
      <c r="P43" s="25">
        <f t="shared" si="18"/>
        <v>0</v>
      </c>
      <c r="Q43" s="26"/>
      <c r="R43" s="26"/>
      <c r="S43" s="26"/>
      <c r="T43" s="27"/>
      <c r="U43" s="28">
        <f t="shared" si="14"/>
        <v>0</v>
      </c>
      <c r="V43" s="22"/>
      <c r="W43" s="22"/>
      <c r="X43" s="40"/>
      <c r="Y43" s="22"/>
      <c r="Z43" s="40"/>
      <c r="AA43" s="73"/>
      <c r="AB43" s="73"/>
      <c r="AC43" s="29" t="str">
        <f t="shared" si="15"/>
        <v/>
      </c>
      <c r="AD43" s="30" t="str">
        <f t="shared" si="16"/>
        <v/>
      </c>
      <c r="AE43" s="30" t="str">
        <f t="shared" si="17"/>
        <v/>
      </c>
      <c r="AF43" s="2"/>
    </row>
    <row r="44" spans="1:33" ht="20.25" customHeight="1" x14ac:dyDescent="0.2">
      <c r="A44" s="31">
        <f>+A43</f>
        <v>44163</v>
      </c>
      <c r="B44" s="32">
        <f t="shared" si="10"/>
        <v>48</v>
      </c>
      <c r="C44" s="62">
        <f t="shared" si="11"/>
        <v>44163</v>
      </c>
      <c r="D44" s="19">
        <v>3</v>
      </c>
      <c r="E44" s="20"/>
      <c r="F44" s="21"/>
      <c r="G44" s="22"/>
      <c r="H44" s="22"/>
      <c r="I44" s="21"/>
      <c r="J44" s="22"/>
      <c r="K44" s="22"/>
      <c r="L44" s="23">
        <f t="shared" si="12"/>
        <v>0</v>
      </c>
      <c r="M44" s="22">
        <f t="shared" si="13"/>
        <v>0</v>
      </c>
      <c r="N44" s="24">
        <v>5</v>
      </c>
      <c r="O44" s="25">
        <v>1</v>
      </c>
      <c r="P44" s="25">
        <f t="shared" si="18"/>
        <v>0</v>
      </c>
      <c r="Q44" s="26"/>
      <c r="R44" s="26"/>
      <c r="S44" s="26"/>
      <c r="T44" s="27"/>
      <c r="U44" s="28">
        <f t="shared" si="14"/>
        <v>0</v>
      </c>
      <c r="V44" s="22"/>
      <c r="W44" s="22"/>
      <c r="X44" s="40"/>
      <c r="Y44" s="22"/>
      <c r="Z44" s="40"/>
      <c r="AA44" s="40"/>
      <c r="AB44" s="40"/>
      <c r="AC44" s="29" t="str">
        <f t="shared" si="15"/>
        <v/>
      </c>
      <c r="AD44" s="30" t="str">
        <f t="shared" si="16"/>
        <v/>
      </c>
      <c r="AE44" s="30" t="str">
        <f t="shared" si="17"/>
        <v/>
      </c>
      <c r="AF44" s="2"/>
    </row>
    <row r="45" spans="1:33" ht="20.25" customHeight="1" x14ac:dyDescent="0.2">
      <c r="A45" s="31">
        <f>+A44</f>
        <v>44163</v>
      </c>
      <c r="B45" s="32">
        <f t="shared" si="10"/>
        <v>48</v>
      </c>
      <c r="C45" s="62">
        <f t="shared" si="11"/>
        <v>44163</v>
      </c>
      <c r="D45" s="19">
        <v>4</v>
      </c>
      <c r="E45" s="20"/>
      <c r="F45" s="21"/>
      <c r="G45" s="22"/>
      <c r="H45" s="22"/>
      <c r="I45" s="21"/>
      <c r="J45" s="22"/>
      <c r="K45" s="22"/>
      <c r="L45" s="23">
        <f t="shared" si="12"/>
        <v>0</v>
      </c>
      <c r="M45" s="22">
        <f t="shared" si="13"/>
        <v>0</v>
      </c>
      <c r="N45" s="24">
        <v>5</v>
      </c>
      <c r="O45" s="25">
        <v>1</v>
      </c>
      <c r="P45" s="25">
        <f t="shared" si="18"/>
        <v>0</v>
      </c>
      <c r="Q45" s="26"/>
      <c r="R45" s="26"/>
      <c r="S45" s="26"/>
      <c r="T45" s="27"/>
      <c r="U45" s="28">
        <f t="shared" si="14"/>
        <v>0</v>
      </c>
      <c r="V45" s="22"/>
      <c r="W45" s="22"/>
      <c r="X45" s="40"/>
      <c r="Y45" s="22"/>
      <c r="Z45" s="40"/>
      <c r="AA45" s="40"/>
      <c r="AB45" s="40"/>
      <c r="AC45" s="29" t="str">
        <f t="shared" si="15"/>
        <v/>
      </c>
      <c r="AD45" s="30" t="str">
        <f t="shared" si="16"/>
        <v/>
      </c>
      <c r="AE45" s="30" t="str">
        <f t="shared" si="17"/>
        <v/>
      </c>
      <c r="AF45" s="6">
        <f>+SUM(AD42:AD46)</f>
        <v>0</v>
      </c>
      <c r="AG45" s="6">
        <f>+SUM(AE41:AE46)</f>
        <v>0</v>
      </c>
    </row>
    <row r="46" spans="1:33" ht="20.25" customHeight="1" x14ac:dyDescent="0.2">
      <c r="A46" s="33">
        <f>+A45</f>
        <v>44163</v>
      </c>
      <c r="B46" s="34">
        <f t="shared" si="10"/>
        <v>48</v>
      </c>
      <c r="C46" s="63">
        <f t="shared" si="11"/>
        <v>44163</v>
      </c>
      <c r="D46" s="19">
        <v>5</v>
      </c>
      <c r="E46" s="20"/>
      <c r="F46" s="21"/>
      <c r="G46" s="22"/>
      <c r="H46" s="22"/>
      <c r="I46" s="21"/>
      <c r="J46" s="22"/>
      <c r="K46" s="22"/>
      <c r="L46" s="23">
        <f t="shared" si="12"/>
        <v>0</v>
      </c>
      <c r="M46" s="22">
        <f t="shared" si="13"/>
        <v>0</v>
      </c>
      <c r="N46" s="24">
        <v>5</v>
      </c>
      <c r="O46" s="25">
        <v>1</v>
      </c>
      <c r="P46" s="25">
        <f t="shared" si="18"/>
        <v>0</v>
      </c>
      <c r="Q46" s="26"/>
      <c r="R46" s="26"/>
      <c r="S46" s="26"/>
      <c r="T46" s="27"/>
      <c r="U46" s="28">
        <f t="shared" si="14"/>
        <v>0</v>
      </c>
      <c r="V46" s="22"/>
      <c r="W46" s="22"/>
      <c r="X46" s="40"/>
      <c r="Y46" s="22"/>
      <c r="Z46" s="40"/>
      <c r="AA46" s="40"/>
      <c r="AB46" s="40"/>
      <c r="AC46" s="29" t="str">
        <f t="shared" si="15"/>
        <v/>
      </c>
      <c r="AD46" s="30" t="str">
        <f t="shared" si="16"/>
        <v/>
      </c>
      <c r="AE46" s="30" t="str">
        <f t="shared" si="17"/>
        <v/>
      </c>
      <c r="AF46" s="7">
        <f>+COUNT(AD42:AD46)</f>
        <v>0</v>
      </c>
      <c r="AG46" s="7">
        <f>+COUNT(AE41:AE46)</f>
        <v>0</v>
      </c>
    </row>
    <row r="47" spans="1:33" ht="20.25" customHeight="1" x14ac:dyDescent="0.2">
      <c r="A47" s="17">
        <f>+A42+1</f>
        <v>44164</v>
      </c>
      <c r="B47" s="18">
        <f>WEEKNUM(A47,2)</f>
        <v>48</v>
      </c>
      <c r="C47" s="61">
        <f t="shared" si="11"/>
        <v>44164</v>
      </c>
      <c r="D47" s="19">
        <v>1</v>
      </c>
      <c r="E47" s="20"/>
      <c r="F47" s="21"/>
      <c r="G47" s="22"/>
      <c r="H47" s="22"/>
      <c r="I47" s="21"/>
      <c r="J47" s="22"/>
      <c r="K47" s="22"/>
      <c r="L47" s="23">
        <f t="shared" si="12"/>
        <v>0</v>
      </c>
      <c r="M47" s="22">
        <f t="shared" si="13"/>
        <v>0</v>
      </c>
      <c r="N47" s="24">
        <v>5</v>
      </c>
      <c r="O47" s="25">
        <v>1</v>
      </c>
      <c r="P47" s="25">
        <f t="shared" si="18"/>
        <v>0</v>
      </c>
      <c r="Q47" s="26"/>
      <c r="R47" s="26"/>
      <c r="S47" s="26"/>
      <c r="T47" s="27"/>
      <c r="U47" s="28">
        <f t="shared" si="14"/>
        <v>0</v>
      </c>
      <c r="V47" s="22">
        <f>SUM(U47:U51)</f>
        <v>0</v>
      </c>
      <c r="W47" s="74">
        <f>+Tabla1[[#This Row],[RESULTADO DEL DÍA]]+W42</f>
        <v>2288.9999999999995</v>
      </c>
      <c r="X47" s="22">
        <f>+X42+Tabla1[[#This Row],[Objetivo presupuestado]]</f>
        <v>2450</v>
      </c>
      <c r="Y47" s="22" t="str">
        <f>IF(AF47=0,"0",10)</f>
        <v>0</v>
      </c>
      <c r="Z47" s="22" t="str">
        <f>IF(AF47=0,"0",50)</f>
        <v>0</v>
      </c>
      <c r="AA47" s="27">
        <f>+IFERROR(AF50/(AG50*-1),AF50)</f>
        <v>0</v>
      </c>
      <c r="AB47" s="75" t="str">
        <f>+IFERROR(AF51/AF47,"0")</f>
        <v>0</v>
      </c>
      <c r="AC47" s="29" t="str">
        <f t="shared" si="15"/>
        <v/>
      </c>
      <c r="AD47" s="30" t="str">
        <f t="shared" si="16"/>
        <v/>
      </c>
      <c r="AE47" s="30" t="str">
        <f t="shared" si="17"/>
        <v/>
      </c>
      <c r="AF47" s="9">
        <f>+COUNTIF(AC47:AC51,"1")</f>
        <v>0</v>
      </c>
    </row>
    <row r="48" spans="1:33" ht="20.25" customHeight="1" x14ac:dyDescent="0.2">
      <c r="A48" s="31">
        <f>+A47</f>
        <v>44164</v>
      </c>
      <c r="B48" s="32">
        <f t="shared" si="10"/>
        <v>48</v>
      </c>
      <c r="C48" s="62">
        <f t="shared" si="11"/>
        <v>44164</v>
      </c>
      <c r="D48" s="19">
        <v>2</v>
      </c>
      <c r="E48" s="20"/>
      <c r="F48" s="21"/>
      <c r="G48" s="22"/>
      <c r="H48" s="22"/>
      <c r="I48" s="21"/>
      <c r="J48" s="22"/>
      <c r="K48" s="22"/>
      <c r="L48" s="23">
        <f t="shared" si="12"/>
        <v>0</v>
      </c>
      <c r="M48" s="22">
        <f t="shared" si="13"/>
        <v>0</v>
      </c>
      <c r="N48" s="24">
        <v>5</v>
      </c>
      <c r="O48" s="25">
        <v>1</v>
      </c>
      <c r="P48" s="25">
        <f t="shared" si="18"/>
        <v>0</v>
      </c>
      <c r="Q48" s="26"/>
      <c r="R48" s="26"/>
      <c r="S48" s="26"/>
      <c r="T48" s="27"/>
      <c r="U48" s="28">
        <f t="shared" si="14"/>
        <v>0</v>
      </c>
      <c r="V48" s="22"/>
      <c r="W48" s="22"/>
      <c r="X48" s="40"/>
      <c r="Y48" s="22"/>
      <c r="Z48" s="40"/>
      <c r="AA48" s="73"/>
      <c r="AB48" s="73"/>
      <c r="AC48" s="29" t="str">
        <f t="shared" si="15"/>
        <v/>
      </c>
      <c r="AD48" s="30" t="str">
        <f t="shared" si="16"/>
        <v/>
      </c>
      <c r="AE48" s="30" t="str">
        <f t="shared" si="17"/>
        <v/>
      </c>
      <c r="AF48" s="2"/>
    </row>
    <row r="49" spans="1:33" ht="20.25" customHeight="1" x14ac:dyDescent="0.2">
      <c r="A49" s="31">
        <f>+A48</f>
        <v>44164</v>
      </c>
      <c r="B49" s="32">
        <f t="shared" si="10"/>
        <v>48</v>
      </c>
      <c r="C49" s="62">
        <f t="shared" si="11"/>
        <v>44164</v>
      </c>
      <c r="D49" s="19">
        <v>3</v>
      </c>
      <c r="E49" s="20"/>
      <c r="F49" s="21"/>
      <c r="G49" s="22"/>
      <c r="H49" s="22"/>
      <c r="I49" s="21"/>
      <c r="J49" s="22"/>
      <c r="K49" s="22"/>
      <c r="L49" s="23">
        <f t="shared" si="12"/>
        <v>0</v>
      </c>
      <c r="M49" s="22">
        <f t="shared" si="13"/>
        <v>0</v>
      </c>
      <c r="N49" s="24">
        <v>5</v>
      </c>
      <c r="O49" s="25">
        <v>1</v>
      </c>
      <c r="P49" s="25">
        <f t="shared" si="18"/>
        <v>0</v>
      </c>
      <c r="Q49" s="26"/>
      <c r="R49" s="26"/>
      <c r="S49" s="26"/>
      <c r="T49" s="27"/>
      <c r="U49" s="28">
        <f t="shared" si="14"/>
        <v>0</v>
      </c>
      <c r="V49" s="22"/>
      <c r="W49" s="22"/>
      <c r="X49" s="40"/>
      <c r="Y49" s="22"/>
      <c r="Z49" s="40"/>
      <c r="AA49" s="40"/>
      <c r="AB49" s="40"/>
      <c r="AC49" s="29" t="str">
        <f t="shared" si="15"/>
        <v/>
      </c>
      <c r="AD49" s="30" t="str">
        <f t="shared" si="16"/>
        <v/>
      </c>
      <c r="AE49" s="30" t="str">
        <f t="shared" si="17"/>
        <v/>
      </c>
      <c r="AF49" s="2"/>
    </row>
    <row r="50" spans="1:33" ht="20.25" customHeight="1" x14ac:dyDescent="0.2">
      <c r="A50" s="31">
        <f>+A49</f>
        <v>44164</v>
      </c>
      <c r="B50" s="32">
        <f t="shared" si="10"/>
        <v>48</v>
      </c>
      <c r="C50" s="62">
        <f t="shared" si="11"/>
        <v>44164</v>
      </c>
      <c r="D50" s="19">
        <v>4</v>
      </c>
      <c r="E50" s="20"/>
      <c r="F50" s="21"/>
      <c r="G50" s="22"/>
      <c r="H50" s="22"/>
      <c r="I50" s="21"/>
      <c r="J50" s="22"/>
      <c r="K50" s="22"/>
      <c r="L50" s="23">
        <f t="shared" si="12"/>
        <v>0</v>
      </c>
      <c r="M50" s="22">
        <f t="shared" si="13"/>
        <v>0</v>
      </c>
      <c r="N50" s="24">
        <v>5</v>
      </c>
      <c r="O50" s="25">
        <v>1</v>
      </c>
      <c r="P50" s="25">
        <f t="shared" si="18"/>
        <v>0</v>
      </c>
      <c r="Q50" s="26"/>
      <c r="R50" s="26"/>
      <c r="S50" s="26"/>
      <c r="T50" s="27"/>
      <c r="U50" s="28">
        <f t="shared" si="14"/>
        <v>0</v>
      </c>
      <c r="V50" s="22"/>
      <c r="W50" s="22"/>
      <c r="X50" s="40"/>
      <c r="Y50" s="22"/>
      <c r="Z50" s="40"/>
      <c r="AA50" s="40"/>
      <c r="AB50" s="40"/>
      <c r="AC50" s="29" t="str">
        <f t="shared" si="15"/>
        <v/>
      </c>
      <c r="AD50" s="30" t="str">
        <f t="shared" si="16"/>
        <v/>
      </c>
      <c r="AE50" s="30" t="str">
        <f t="shared" si="17"/>
        <v/>
      </c>
      <c r="AF50" s="6">
        <f>+SUM(AD47:AD51)</f>
        <v>0</v>
      </c>
      <c r="AG50" s="6">
        <f>+SUM(AE46:AE51)</f>
        <v>0</v>
      </c>
    </row>
    <row r="51" spans="1:33" ht="20.25" customHeight="1" x14ac:dyDescent="0.2">
      <c r="A51" s="33">
        <f>+A50</f>
        <v>44164</v>
      </c>
      <c r="B51" s="34">
        <f t="shared" si="10"/>
        <v>48</v>
      </c>
      <c r="C51" s="63">
        <f t="shared" si="11"/>
        <v>44164</v>
      </c>
      <c r="D51" s="19">
        <v>5</v>
      </c>
      <c r="E51" s="20"/>
      <c r="F51" s="21"/>
      <c r="G51" s="22"/>
      <c r="H51" s="22"/>
      <c r="I51" s="21"/>
      <c r="J51" s="22"/>
      <c r="K51" s="22"/>
      <c r="L51" s="23">
        <f t="shared" si="12"/>
        <v>0</v>
      </c>
      <c r="M51" s="22">
        <f t="shared" si="13"/>
        <v>0</v>
      </c>
      <c r="N51" s="24">
        <v>5</v>
      </c>
      <c r="O51" s="25">
        <v>1</v>
      </c>
      <c r="P51" s="25">
        <f t="shared" si="18"/>
        <v>0</v>
      </c>
      <c r="Q51" s="26"/>
      <c r="R51" s="26"/>
      <c r="S51" s="26"/>
      <c r="T51" s="27"/>
      <c r="U51" s="28">
        <f t="shared" si="14"/>
        <v>0</v>
      </c>
      <c r="V51" s="22"/>
      <c r="W51" s="22"/>
      <c r="X51" s="40"/>
      <c r="Y51" s="22"/>
      <c r="Z51" s="40"/>
      <c r="AA51" s="40"/>
      <c r="AB51" s="40"/>
      <c r="AC51" s="29" t="str">
        <f t="shared" si="15"/>
        <v/>
      </c>
      <c r="AD51" s="30" t="str">
        <f t="shared" si="16"/>
        <v/>
      </c>
      <c r="AE51" s="30" t="str">
        <f t="shared" si="17"/>
        <v/>
      </c>
      <c r="AF51" s="7">
        <f>+COUNT(AD47:AD51)</f>
        <v>0</v>
      </c>
      <c r="AG51" s="7">
        <f>+COUNT(AE46:AE51)</f>
        <v>0</v>
      </c>
    </row>
    <row r="52" spans="1:33" ht="20.25" customHeight="1" x14ac:dyDescent="0.2">
      <c r="A52" s="17">
        <f>+A47+1</f>
        <v>44165</v>
      </c>
      <c r="B52" s="18">
        <f>WEEKNUM(A52,2)</f>
        <v>49</v>
      </c>
      <c r="C52" s="61">
        <f t="shared" si="11"/>
        <v>44165</v>
      </c>
      <c r="D52" s="19">
        <v>1</v>
      </c>
      <c r="E52" s="20" t="s">
        <v>25</v>
      </c>
      <c r="F52" s="21">
        <v>44165.46670138889</v>
      </c>
      <c r="G52" s="22">
        <v>1830.1</v>
      </c>
      <c r="H52" s="22"/>
      <c r="I52" s="21">
        <v>44165.471365740741</v>
      </c>
      <c r="J52" s="22">
        <v>1827.1</v>
      </c>
      <c r="K52" s="22"/>
      <c r="L52" s="23">
        <f t="shared" si="12"/>
        <v>4.6643518508062698E-3</v>
      </c>
      <c r="M52" s="22">
        <f t="shared" si="13"/>
        <v>-3</v>
      </c>
      <c r="N52" s="24">
        <v>5</v>
      </c>
      <c r="O52" s="25">
        <v>1</v>
      </c>
      <c r="P52" s="25">
        <f>+IF(J52&gt;0,O52*0.8,0)</f>
        <v>0.8</v>
      </c>
      <c r="Q52" s="26"/>
      <c r="R52" s="26"/>
      <c r="S52" s="26"/>
      <c r="T52" s="27"/>
      <c r="U52" s="83">
        <f t="shared" si="14"/>
        <v>-15.8</v>
      </c>
      <c r="V52" s="22">
        <f>SUM(U52:U56)</f>
        <v>-41.6</v>
      </c>
      <c r="W52" s="74">
        <f>+Tabla1[[#This Row],[RESULTADO DEL DÍA]]+W47</f>
        <v>2247.3999999999996</v>
      </c>
      <c r="X52" s="22">
        <f>+X47+Tabla1[[#This Row],[Objetivo presupuestado]]</f>
        <v>2500</v>
      </c>
      <c r="Y52" s="22">
        <f>IF(AF52=0,"0",10)</f>
        <v>10</v>
      </c>
      <c r="Z52" s="22">
        <f>IF(AF52=0,"0",50)</f>
        <v>50</v>
      </c>
      <c r="AA52" s="27">
        <f>+IFERROR(AF55/(AG55*-1),AF55)</f>
        <v>0</v>
      </c>
      <c r="AB52" s="75">
        <f>+IFERROR(AF56/AF52,"0")</f>
        <v>0</v>
      </c>
      <c r="AC52" s="29">
        <f t="shared" si="15"/>
        <v>1</v>
      </c>
      <c r="AD52" s="30" t="str">
        <f t="shared" si="16"/>
        <v/>
      </c>
      <c r="AE52" s="30">
        <f t="shared" si="17"/>
        <v>-3</v>
      </c>
      <c r="AF52" s="9">
        <f>+COUNTIF(AC52:AC56,"1")</f>
        <v>2</v>
      </c>
    </row>
    <row r="53" spans="1:33" ht="20.25" customHeight="1" x14ac:dyDescent="0.2">
      <c r="A53" s="31">
        <f>+A52</f>
        <v>44165</v>
      </c>
      <c r="B53" s="32">
        <f t="shared" si="10"/>
        <v>49</v>
      </c>
      <c r="C53" s="62">
        <f t="shared" si="11"/>
        <v>44165</v>
      </c>
      <c r="D53" s="19">
        <v>2</v>
      </c>
      <c r="E53" s="20" t="s">
        <v>25</v>
      </c>
      <c r="F53" s="21">
        <v>44165.48978009259</v>
      </c>
      <c r="G53" s="22">
        <v>1829.7</v>
      </c>
      <c r="H53" s="22"/>
      <c r="I53" s="21">
        <v>44165.50203703704</v>
      </c>
      <c r="J53" s="22">
        <v>1824.7</v>
      </c>
      <c r="K53" s="22"/>
      <c r="L53" s="23">
        <f t="shared" si="12"/>
        <v>1.2256944450200535E-2</v>
      </c>
      <c r="M53" s="22">
        <f t="shared" si="13"/>
        <v>-5</v>
      </c>
      <c r="N53" s="24">
        <v>5</v>
      </c>
      <c r="O53" s="25">
        <v>1</v>
      </c>
      <c r="P53" s="25">
        <f>+IF(J53&gt;0,O53*0.8,0)</f>
        <v>0.8</v>
      </c>
      <c r="Q53" s="26"/>
      <c r="R53" s="26"/>
      <c r="S53" s="26"/>
      <c r="T53" s="27"/>
      <c r="U53" s="83">
        <f t="shared" si="14"/>
        <v>-25.8</v>
      </c>
      <c r="V53" s="22"/>
      <c r="W53" s="22"/>
      <c r="X53" s="40"/>
      <c r="Y53" s="22"/>
      <c r="Z53" s="40"/>
      <c r="AA53" s="73"/>
      <c r="AB53" s="73"/>
      <c r="AC53" s="29">
        <f t="shared" si="15"/>
        <v>1</v>
      </c>
      <c r="AD53" s="30" t="str">
        <f t="shared" si="16"/>
        <v/>
      </c>
      <c r="AE53" s="30">
        <f t="shared" si="17"/>
        <v>-5</v>
      </c>
      <c r="AF53" s="2"/>
    </row>
    <row r="54" spans="1:33" ht="20.25" customHeight="1" x14ac:dyDescent="0.2">
      <c r="A54" s="31">
        <f>+A53</f>
        <v>44165</v>
      </c>
      <c r="B54" s="32">
        <f t="shared" si="10"/>
        <v>49</v>
      </c>
      <c r="C54" s="62">
        <f t="shared" si="11"/>
        <v>44165</v>
      </c>
      <c r="D54" s="19">
        <v>3</v>
      </c>
      <c r="E54" s="20"/>
      <c r="F54" s="21"/>
      <c r="G54" s="22"/>
      <c r="H54" s="22"/>
      <c r="I54" s="21"/>
      <c r="J54" s="22"/>
      <c r="K54" s="22"/>
      <c r="L54" s="23">
        <f t="shared" si="12"/>
        <v>0</v>
      </c>
      <c r="M54" s="22">
        <f t="shared" si="13"/>
        <v>0</v>
      </c>
      <c r="N54" s="24">
        <v>5</v>
      </c>
      <c r="O54" s="25">
        <v>1</v>
      </c>
      <c r="P54" s="25">
        <f t="shared" si="18"/>
        <v>0</v>
      </c>
      <c r="Q54" s="26"/>
      <c r="R54" s="26"/>
      <c r="S54" s="26"/>
      <c r="T54" s="27"/>
      <c r="U54" s="28">
        <f t="shared" si="14"/>
        <v>0</v>
      </c>
      <c r="V54" s="22"/>
      <c r="W54" s="22"/>
      <c r="X54" s="40"/>
      <c r="Y54" s="22"/>
      <c r="Z54" s="40"/>
      <c r="AA54" s="40"/>
      <c r="AB54" s="40"/>
      <c r="AC54" s="29" t="str">
        <f t="shared" si="15"/>
        <v/>
      </c>
      <c r="AD54" s="30" t="str">
        <f t="shared" si="16"/>
        <v/>
      </c>
      <c r="AE54" s="30" t="str">
        <f t="shared" si="17"/>
        <v/>
      </c>
      <c r="AF54" s="2"/>
    </row>
    <row r="55" spans="1:33" ht="20.25" customHeight="1" x14ac:dyDescent="0.2">
      <c r="A55" s="31">
        <f>+A54</f>
        <v>44165</v>
      </c>
      <c r="B55" s="32">
        <f t="shared" si="10"/>
        <v>49</v>
      </c>
      <c r="C55" s="62">
        <f t="shared" si="11"/>
        <v>44165</v>
      </c>
      <c r="D55" s="19">
        <v>4</v>
      </c>
      <c r="E55" s="20"/>
      <c r="F55" s="21"/>
      <c r="G55" s="22"/>
      <c r="H55" s="22"/>
      <c r="I55" s="21"/>
      <c r="J55" s="22"/>
      <c r="K55" s="22"/>
      <c r="L55" s="23">
        <f t="shared" si="12"/>
        <v>0</v>
      </c>
      <c r="M55" s="22">
        <f t="shared" si="13"/>
        <v>0</v>
      </c>
      <c r="N55" s="24">
        <v>5</v>
      </c>
      <c r="O55" s="25">
        <v>1</v>
      </c>
      <c r="P55" s="25">
        <f t="shared" si="18"/>
        <v>0</v>
      </c>
      <c r="Q55" s="26"/>
      <c r="R55" s="26"/>
      <c r="S55" s="26"/>
      <c r="T55" s="27"/>
      <c r="U55" s="28">
        <f t="shared" si="14"/>
        <v>0</v>
      </c>
      <c r="V55" s="22"/>
      <c r="W55" s="22"/>
      <c r="X55" s="40"/>
      <c r="Y55" s="22"/>
      <c r="Z55" s="40"/>
      <c r="AA55" s="40"/>
      <c r="AB55" s="40"/>
      <c r="AC55" s="29" t="str">
        <f t="shared" si="15"/>
        <v/>
      </c>
      <c r="AD55" s="30" t="str">
        <f t="shared" si="16"/>
        <v/>
      </c>
      <c r="AE55" s="30" t="str">
        <f t="shared" si="17"/>
        <v/>
      </c>
      <c r="AF55" s="6">
        <f>+SUM(AD52:AD56)</f>
        <v>0</v>
      </c>
      <c r="AG55" s="6">
        <f>+SUM(AE51:AE56)</f>
        <v>-8</v>
      </c>
    </row>
    <row r="56" spans="1:33" ht="20.25" customHeight="1" x14ac:dyDescent="0.2">
      <c r="A56" s="33">
        <f>+A55</f>
        <v>44165</v>
      </c>
      <c r="B56" s="34">
        <f t="shared" si="10"/>
        <v>49</v>
      </c>
      <c r="C56" s="63">
        <f t="shared" si="11"/>
        <v>44165</v>
      </c>
      <c r="D56" s="19">
        <v>5</v>
      </c>
      <c r="E56" s="20"/>
      <c r="F56" s="21"/>
      <c r="G56" s="22"/>
      <c r="H56" s="22"/>
      <c r="I56" s="21"/>
      <c r="J56" s="22"/>
      <c r="K56" s="22"/>
      <c r="L56" s="23">
        <f t="shared" si="12"/>
        <v>0</v>
      </c>
      <c r="M56" s="22">
        <f t="shared" si="13"/>
        <v>0</v>
      </c>
      <c r="N56" s="24">
        <v>5</v>
      </c>
      <c r="O56" s="25">
        <v>1</v>
      </c>
      <c r="P56" s="25">
        <f t="shared" si="18"/>
        <v>0</v>
      </c>
      <c r="Q56" s="26"/>
      <c r="R56" s="26"/>
      <c r="S56" s="26"/>
      <c r="T56" s="27"/>
      <c r="U56" s="28">
        <f t="shared" si="14"/>
        <v>0</v>
      </c>
      <c r="V56" s="22"/>
      <c r="W56" s="22"/>
      <c r="X56" s="40"/>
      <c r="Y56" s="22"/>
      <c r="Z56" s="40"/>
      <c r="AA56" s="40"/>
      <c r="AB56" s="40"/>
      <c r="AC56" s="29" t="str">
        <f t="shared" si="15"/>
        <v/>
      </c>
      <c r="AD56" s="30" t="str">
        <f t="shared" si="16"/>
        <v/>
      </c>
      <c r="AE56" s="30" t="str">
        <f t="shared" si="17"/>
        <v/>
      </c>
      <c r="AF56" s="7">
        <f>+COUNT(AD52:AD56)</f>
        <v>0</v>
      </c>
      <c r="AG56" s="7">
        <f>+COUNT(AE51:AE56)</f>
        <v>2</v>
      </c>
    </row>
    <row r="57" spans="1:33" ht="20.25" customHeight="1" x14ac:dyDescent="0.2">
      <c r="A57" s="17">
        <f>+A52+1</f>
        <v>44166</v>
      </c>
      <c r="B57" s="18">
        <f>WEEKNUM(A57,2)</f>
        <v>49</v>
      </c>
      <c r="C57" s="61">
        <f t="shared" si="11"/>
        <v>44166</v>
      </c>
      <c r="D57" s="19">
        <v>1</v>
      </c>
      <c r="E57" s="20" t="s">
        <v>26</v>
      </c>
      <c r="F57" s="21">
        <v>44166.483587962961</v>
      </c>
      <c r="G57" s="22">
        <v>1834.5</v>
      </c>
      <c r="H57" s="22"/>
      <c r="I57" s="21">
        <v>44166.484282407408</v>
      </c>
      <c r="J57" s="22">
        <v>1829.3</v>
      </c>
      <c r="K57" s="22"/>
      <c r="L57" s="23">
        <f t="shared" si="12"/>
        <v>6.944444467080757E-4</v>
      </c>
      <c r="M57" s="22">
        <f t="shared" si="13"/>
        <v>5.2000000000000455</v>
      </c>
      <c r="N57" s="24">
        <v>5</v>
      </c>
      <c r="O57" s="25">
        <v>1</v>
      </c>
      <c r="P57" s="25">
        <f>+IF(J57&gt;0,O57*0.8,0)</f>
        <v>0.8</v>
      </c>
      <c r="Q57" s="26"/>
      <c r="R57" s="26"/>
      <c r="S57" s="26"/>
      <c r="T57" s="27"/>
      <c r="U57" s="83">
        <f t="shared" si="14"/>
        <v>25.200000000000227</v>
      </c>
      <c r="V57" s="22">
        <f>SUM(U57:U61)</f>
        <v>18.300000000000907</v>
      </c>
      <c r="W57" s="74">
        <f>+Tabla1[[#This Row],[RESULTADO DEL DÍA]]+W52</f>
        <v>2265.7000000000007</v>
      </c>
      <c r="X57" s="22">
        <f>+X52+Tabla1[[#This Row],[Objetivo presupuestado]]</f>
        <v>2550</v>
      </c>
      <c r="Y57" s="22">
        <f>IF(AF57=0,"0",10)</f>
        <v>10</v>
      </c>
      <c r="Z57" s="22">
        <f>IF(AF57=0,"0",50)</f>
        <v>50</v>
      </c>
      <c r="AA57" s="27">
        <f>+IFERROR(AF60/(AG60*-1),AF60)</f>
        <v>2.433333333333394</v>
      </c>
      <c r="AB57" s="75">
        <f>+IFERROR(AF61/AF57,"0")</f>
        <v>0.75</v>
      </c>
      <c r="AC57" s="29">
        <f t="shared" si="15"/>
        <v>1</v>
      </c>
      <c r="AD57" s="30">
        <f t="shared" si="16"/>
        <v>5.2000000000000455</v>
      </c>
      <c r="AE57" s="30" t="str">
        <f t="shared" si="17"/>
        <v/>
      </c>
      <c r="AF57" s="9">
        <f>+COUNTIF(AC57:AC61,"1")</f>
        <v>4</v>
      </c>
    </row>
    <row r="58" spans="1:33" ht="20.25" customHeight="1" x14ac:dyDescent="0.2">
      <c r="A58" s="31">
        <f>+A57</f>
        <v>44166</v>
      </c>
      <c r="B58" s="32">
        <f t="shared" si="10"/>
        <v>49</v>
      </c>
      <c r="C58" s="62">
        <f t="shared" si="11"/>
        <v>44166</v>
      </c>
      <c r="D58" s="19">
        <v>2</v>
      </c>
      <c r="E58" s="20" t="s">
        <v>26</v>
      </c>
      <c r="F58" s="21">
        <v>44166.500115740739</v>
      </c>
      <c r="G58" s="22">
        <v>1827.6</v>
      </c>
      <c r="H58" s="22"/>
      <c r="I58" s="21">
        <v>44166.501539351855</v>
      </c>
      <c r="J58" s="22">
        <v>1830.6</v>
      </c>
      <c r="K58" s="22"/>
      <c r="L58" s="23">
        <f t="shared" si="12"/>
        <v>1.423611116479151E-3</v>
      </c>
      <c r="M58" s="22">
        <f t="shared" si="13"/>
        <v>-3</v>
      </c>
      <c r="N58" s="24">
        <v>5</v>
      </c>
      <c r="O58" s="25">
        <v>1</v>
      </c>
      <c r="P58" s="25">
        <f>+IF(J58&gt;0,O58*0.8,0)</f>
        <v>0.8</v>
      </c>
      <c r="Q58" s="26"/>
      <c r="R58" s="26"/>
      <c r="S58" s="26"/>
      <c r="T58" s="27"/>
      <c r="U58" s="83">
        <f t="shared" si="14"/>
        <v>-15.8</v>
      </c>
      <c r="V58" s="22"/>
      <c r="W58" s="22"/>
      <c r="X58" s="40"/>
      <c r="Y58" s="22"/>
      <c r="Z58" s="40"/>
      <c r="AA58" s="73"/>
      <c r="AB58" s="73"/>
      <c r="AC58" s="29">
        <f t="shared" si="15"/>
        <v>1</v>
      </c>
      <c r="AD58" s="30" t="str">
        <f t="shared" si="16"/>
        <v/>
      </c>
      <c r="AE58" s="30">
        <f t="shared" si="17"/>
        <v>-3</v>
      </c>
      <c r="AF58" s="2"/>
    </row>
    <row r="59" spans="1:33" ht="20.25" customHeight="1" x14ac:dyDescent="0.2">
      <c r="A59" s="31">
        <f>+A58</f>
        <v>44166</v>
      </c>
      <c r="B59" s="32">
        <f t="shared" si="10"/>
        <v>49</v>
      </c>
      <c r="C59" s="62">
        <f t="shared" si="11"/>
        <v>44166</v>
      </c>
      <c r="D59" s="19">
        <v>3</v>
      </c>
      <c r="E59" s="20" t="s">
        <v>25</v>
      </c>
      <c r="F59" s="21">
        <v>44166.517488425925</v>
      </c>
      <c r="G59" s="22">
        <v>1833</v>
      </c>
      <c r="H59" s="22"/>
      <c r="I59" s="21">
        <v>44166.521238425928</v>
      </c>
      <c r="J59" s="22">
        <v>1834.9</v>
      </c>
      <c r="K59" s="22"/>
      <c r="L59" s="23">
        <f t="shared" si="12"/>
        <v>3.7500000034924597E-3</v>
      </c>
      <c r="M59" s="22">
        <f t="shared" si="13"/>
        <v>1.9000000000000909</v>
      </c>
      <c r="N59" s="24">
        <v>5</v>
      </c>
      <c r="O59" s="25">
        <v>1</v>
      </c>
      <c r="P59" s="25">
        <f>+IF(J59&gt;0,O59*0.8,0)</f>
        <v>0.8</v>
      </c>
      <c r="Q59" s="26"/>
      <c r="R59" s="26"/>
      <c r="S59" s="26"/>
      <c r="T59" s="27"/>
      <c r="U59" s="83">
        <f t="shared" si="14"/>
        <v>8.700000000000454</v>
      </c>
      <c r="V59" s="22"/>
      <c r="W59" s="22"/>
      <c r="X59" s="40"/>
      <c r="Y59" s="22"/>
      <c r="Z59" s="40"/>
      <c r="AA59" s="40"/>
      <c r="AB59" s="40"/>
      <c r="AC59" s="29">
        <f t="shared" si="15"/>
        <v>1</v>
      </c>
      <c r="AD59" s="30">
        <f t="shared" si="16"/>
        <v>1.9000000000000909</v>
      </c>
      <c r="AE59" s="30" t="str">
        <f t="shared" si="17"/>
        <v/>
      </c>
      <c r="AF59" s="2"/>
    </row>
    <row r="60" spans="1:33" ht="20.25" customHeight="1" x14ac:dyDescent="0.2">
      <c r="A60" s="31">
        <f>+A59</f>
        <v>44166</v>
      </c>
      <c r="B60" s="32">
        <f t="shared" si="10"/>
        <v>49</v>
      </c>
      <c r="C60" s="62">
        <f t="shared" si="11"/>
        <v>44166</v>
      </c>
      <c r="D60" s="19">
        <v>4</v>
      </c>
      <c r="E60" s="20" t="s">
        <v>25</v>
      </c>
      <c r="F60" s="21">
        <v>44166.532696759263</v>
      </c>
      <c r="G60" s="22">
        <v>1833.5</v>
      </c>
      <c r="H60" s="22"/>
      <c r="I60" s="21">
        <v>44166.53465277778</v>
      </c>
      <c r="J60" s="22">
        <v>1833.7</v>
      </c>
      <c r="K60" s="22"/>
      <c r="L60" s="23">
        <f t="shared" si="12"/>
        <v>1.9560185173759237E-3</v>
      </c>
      <c r="M60" s="22">
        <f t="shared" si="13"/>
        <v>0.20000000000004547</v>
      </c>
      <c r="N60" s="24">
        <v>5</v>
      </c>
      <c r="O60" s="25">
        <v>1</v>
      </c>
      <c r="P60" s="25">
        <f>+IF(J60&gt;0,O60*0.8,0)</f>
        <v>0.8</v>
      </c>
      <c r="Q60" s="26"/>
      <c r="R60" s="26"/>
      <c r="S60" s="26"/>
      <c r="T60" s="27"/>
      <c r="U60" s="28">
        <f t="shared" si="14"/>
        <v>0.20000000000022733</v>
      </c>
      <c r="V60" s="22"/>
      <c r="W60" s="22"/>
      <c r="X60" s="40"/>
      <c r="Y60" s="22"/>
      <c r="Z60" s="40"/>
      <c r="AA60" s="40"/>
      <c r="AB60" s="40"/>
      <c r="AC60" s="29">
        <f t="shared" si="15"/>
        <v>1</v>
      </c>
      <c r="AD60" s="30">
        <f t="shared" si="16"/>
        <v>0.20000000000004547</v>
      </c>
      <c r="AE60" s="30" t="str">
        <f t="shared" si="17"/>
        <v/>
      </c>
      <c r="AF60" s="6">
        <f>+SUM(AD57:AD61)</f>
        <v>7.3000000000001819</v>
      </c>
      <c r="AG60" s="6">
        <f>+SUM(AE56:AE61)</f>
        <v>-3</v>
      </c>
    </row>
    <row r="61" spans="1:33" ht="20.25" customHeight="1" x14ac:dyDescent="0.2">
      <c r="A61" s="33">
        <f>+A60</f>
        <v>44166</v>
      </c>
      <c r="B61" s="34">
        <f t="shared" si="10"/>
        <v>49</v>
      </c>
      <c r="C61" s="63">
        <f t="shared" si="11"/>
        <v>44166</v>
      </c>
      <c r="D61" s="19">
        <v>5</v>
      </c>
      <c r="E61" s="20"/>
      <c r="F61" s="21"/>
      <c r="G61" s="22"/>
      <c r="H61" s="22"/>
      <c r="I61" s="21"/>
      <c r="J61" s="22"/>
      <c r="K61" s="22"/>
      <c r="L61" s="23">
        <f t="shared" si="12"/>
        <v>0</v>
      </c>
      <c r="M61" s="22">
        <f t="shared" si="13"/>
        <v>0</v>
      </c>
      <c r="N61" s="24">
        <v>5</v>
      </c>
      <c r="O61" s="25">
        <v>1</v>
      </c>
      <c r="P61" s="25">
        <f t="shared" si="18"/>
        <v>0</v>
      </c>
      <c r="Q61" s="26"/>
      <c r="R61" s="26"/>
      <c r="S61" s="26"/>
      <c r="T61" s="27"/>
      <c r="U61" s="28">
        <f t="shared" si="14"/>
        <v>0</v>
      </c>
      <c r="V61" s="22"/>
      <c r="W61" s="22"/>
      <c r="X61" s="40"/>
      <c r="Y61" s="22"/>
      <c r="Z61" s="40"/>
      <c r="AA61" s="40"/>
      <c r="AB61" s="40"/>
      <c r="AC61" s="29" t="str">
        <f t="shared" si="15"/>
        <v/>
      </c>
      <c r="AD61" s="30" t="str">
        <f t="shared" si="16"/>
        <v/>
      </c>
      <c r="AE61" s="30" t="str">
        <f t="shared" si="17"/>
        <v/>
      </c>
      <c r="AF61" s="7">
        <f>+COUNT(AD57:AD61)</f>
        <v>3</v>
      </c>
      <c r="AG61" s="7">
        <f>+COUNT(AE56:AE61)</f>
        <v>1</v>
      </c>
    </row>
    <row r="62" spans="1:33" ht="20.25" customHeight="1" x14ac:dyDescent="0.2">
      <c r="A62" s="17">
        <f>+A57+1</f>
        <v>44167</v>
      </c>
      <c r="B62" s="18">
        <f>WEEKNUM(A62,2)</f>
        <v>49</v>
      </c>
      <c r="C62" s="61">
        <f t="shared" si="11"/>
        <v>44167</v>
      </c>
      <c r="D62" s="19">
        <v>1</v>
      </c>
      <c r="E62" s="20" t="s">
        <v>26</v>
      </c>
      <c r="F62" s="21">
        <v>44167.486354166664</v>
      </c>
      <c r="G62" s="22">
        <v>1827.9</v>
      </c>
      <c r="H62" s="22"/>
      <c r="I62" s="21">
        <v>44167.489293981482</v>
      </c>
      <c r="J62" s="22">
        <v>1827.8</v>
      </c>
      <c r="K62" s="22"/>
      <c r="L62" s="23">
        <f t="shared" si="12"/>
        <v>2.9398148180916905E-3</v>
      </c>
      <c r="M62" s="22">
        <f t="shared" si="13"/>
        <v>0.10000000000013642</v>
      </c>
      <c r="N62" s="24">
        <v>5</v>
      </c>
      <c r="O62" s="25">
        <v>1</v>
      </c>
      <c r="P62" s="25">
        <f>+IF(J62&gt;0,O62*0.8,0)</f>
        <v>0.8</v>
      </c>
      <c r="Q62" s="26"/>
      <c r="R62" s="26"/>
      <c r="S62" s="26"/>
      <c r="T62" s="27"/>
      <c r="U62" s="83">
        <f t="shared" si="14"/>
        <v>-0.29999999999931792</v>
      </c>
      <c r="V62" s="22">
        <f>SUM(U62:U66)</f>
        <v>-0.29999999999931792</v>
      </c>
      <c r="W62" s="74">
        <f>+Tabla1[[#This Row],[RESULTADO DEL DÍA]]+W57</f>
        <v>2265.4000000000015</v>
      </c>
      <c r="X62" s="22">
        <f>+X57+Tabla1[[#This Row],[Objetivo presupuestado]]</f>
        <v>2600</v>
      </c>
      <c r="Y62" s="22">
        <f>IF(AF62=0,"0",10)</f>
        <v>10</v>
      </c>
      <c r="Z62" s="22">
        <f>IF(AF62=0,"0",50)</f>
        <v>50</v>
      </c>
      <c r="AA62" s="27">
        <f>+IFERROR(AF65/(AG65*-1),AF65)</f>
        <v>0.10000000000013642</v>
      </c>
      <c r="AB62" s="75">
        <f>+IFERROR(AF66/AF62,"0")</f>
        <v>1</v>
      </c>
      <c r="AC62" s="29">
        <f t="shared" si="15"/>
        <v>1</v>
      </c>
      <c r="AD62" s="30">
        <f t="shared" si="16"/>
        <v>0.10000000000013642</v>
      </c>
      <c r="AE62" s="30" t="str">
        <f t="shared" si="17"/>
        <v/>
      </c>
      <c r="AF62" s="9">
        <f>+COUNTIF(AC62:AC66,"1")</f>
        <v>1</v>
      </c>
    </row>
    <row r="63" spans="1:33" ht="20.25" customHeight="1" x14ac:dyDescent="0.2">
      <c r="A63" s="31">
        <f>+A62</f>
        <v>44167</v>
      </c>
      <c r="B63" s="32">
        <f t="shared" si="10"/>
        <v>49</v>
      </c>
      <c r="C63" s="62">
        <f t="shared" si="11"/>
        <v>44167</v>
      </c>
      <c r="D63" s="19">
        <v>2</v>
      </c>
      <c r="E63" s="20"/>
      <c r="F63" s="21"/>
      <c r="G63" s="22"/>
      <c r="H63" s="22"/>
      <c r="I63" s="21"/>
      <c r="J63" s="22"/>
      <c r="K63" s="22"/>
      <c r="L63" s="23">
        <f t="shared" si="12"/>
        <v>0</v>
      </c>
      <c r="M63" s="22">
        <f t="shared" si="13"/>
        <v>0</v>
      </c>
      <c r="N63" s="24">
        <v>5</v>
      </c>
      <c r="O63" s="25">
        <v>1</v>
      </c>
      <c r="P63" s="25">
        <f t="shared" si="18"/>
        <v>0</v>
      </c>
      <c r="Q63" s="26"/>
      <c r="R63" s="26"/>
      <c r="S63" s="26"/>
      <c r="T63" s="27"/>
      <c r="U63" s="28">
        <f t="shared" si="14"/>
        <v>0</v>
      </c>
      <c r="V63" s="22"/>
      <c r="W63" s="22"/>
      <c r="X63" s="40"/>
      <c r="Y63" s="22"/>
      <c r="Z63" s="40"/>
      <c r="AA63" s="73"/>
      <c r="AB63" s="73"/>
      <c r="AC63" s="29" t="str">
        <f t="shared" si="15"/>
        <v/>
      </c>
      <c r="AD63" s="30" t="str">
        <f t="shared" si="16"/>
        <v/>
      </c>
      <c r="AE63" s="30" t="str">
        <f t="shared" si="17"/>
        <v/>
      </c>
      <c r="AF63" s="2"/>
    </row>
    <row r="64" spans="1:33" ht="20.25" customHeight="1" x14ac:dyDescent="0.2">
      <c r="A64" s="31">
        <f>+A63</f>
        <v>44167</v>
      </c>
      <c r="B64" s="32">
        <f t="shared" si="10"/>
        <v>49</v>
      </c>
      <c r="C64" s="62">
        <f t="shared" si="11"/>
        <v>44167</v>
      </c>
      <c r="D64" s="19">
        <v>3</v>
      </c>
      <c r="E64" s="20"/>
      <c r="F64" s="21"/>
      <c r="G64" s="22"/>
      <c r="H64" s="22"/>
      <c r="I64" s="21"/>
      <c r="J64" s="22"/>
      <c r="K64" s="22"/>
      <c r="L64" s="23">
        <f t="shared" si="12"/>
        <v>0</v>
      </c>
      <c r="M64" s="22">
        <f t="shared" si="13"/>
        <v>0</v>
      </c>
      <c r="N64" s="24">
        <v>5</v>
      </c>
      <c r="O64" s="25">
        <v>1</v>
      </c>
      <c r="P64" s="25">
        <f t="shared" si="18"/>
        <v>0</v>
      </c>
      <c r="Q64" s="26"/>
      <c r="R64" s="26"/>
      <c r="S64" s="26"/>
      <c r="T64" s="27"/>
      <c r="U64" s="28">
        <f t="shared" si="14"/>
        <v>0</v>
      </c>
      <c r="V64" s="22"/>
      <c r="W64" s="22"/>
      <c r="X64" s="40"/>
      <c r="Y64" s="22"/>
      <c r="Z64" s="40"/>
      <c r="AA64" s="40"/>
      <c r="AB64" s="40"/>
      <c r="AC64" s="29" t="str">
        <f t="shared" si="15"/>
        <v/>
      </c>
      <c r="AD64" s="30" t="str">
        <f t="shared" si="16"/>
        <v/>
      </c>
      <c r="AE64" s="30" t="str">
        <f t="shared" si="17"/>
        <v/>
      </c>
      <c r="AF64" s="2"/>
    </row>
    <row r="65" spans="1:33" ht="20.25" customHeight="1" x14ac:dyDescent="0.2">
      <c r="A65" s="31">
        <f>+A64</f>
        <v>44167</v>
      </c>
      <c r="B65" s="32">
        <f t="shared" si="10"/>
        <v>49</v>
      </c>
      <c r="C65" s="62">
        <f t="shared" si="11"/>
        <v>44167</v>
      </c>
      <c r="D65" s="19">
        <v>4</v>
      </c>
      <c r="E65" s="20"/>
      <c r="F65" s="21"/>
      <c r="G65" s="22"/>
      <c r="H65" s="22"/>
      <c r="I65" s="21"/>
      <c r="J65" s="22"/>
      <c r="K65" s="22"/>
      <c r="L65" s="23">
        <f t="shared" si="12"/>
        <v>0</v>
      </c>
      <c r="M65" s="22">
        <f t="shared" si="13"/>
        <v>0</v>
      </c>
      <c r="N65" s="24">
        <v>5</v>
      </c>
      <c r="O65" s="25">
        <v>1</v>
      </c>
      <c r="P65" s="25">
        <f t="shared" si="18"/>
        <v>0</v>
      </c>
      <c r="Q65" s="26"/>
      <c r="R65" s="26"/>
      <c r="S65" s="26"/>
      <c r="T65" s="27"/>
      <c r="U65" s="28">
        <f t="shared" si="14"/>
        <v>0</v>
      </c>
      <c r="V65" s="22"/>
      <c r="W65" s="22"/>
      <c r="X65" s="40"/>
      <c r="Y65" s="22"/>
      <c r="Z65" s="40"/>
      <c r="AA65" s="40"/>
      <c r="AB65" s="40"/>
      <c r="AC65" s="29" t="str">
        <f t="shared" si="15"/>
        <v/>
      </c>
      <c r="AD65" s="30" t="str">
        <f t="shared" si="16"/>
        <v/>
      </c>
      <c r="AE65" s="30" t="str">
        <f t="shared" si="17"/>
        <v/>
      </c>
      <c r="AF65" s="6">
        <f>+SUM(AD62:AD66)</f>
        <v>0.10000000000013642</v>
      </c>
      <c r="AG65" s="6">
        <f>+SUM(AE61:AE66)</f>
        <v>0</v>
      </c>
    </row>
    <row r="66" spans="1:33" ht="20.25" customHeight="1" x14ac:dyDescent="0.2">
      <c r="A66" s="33">
        <f>+A65</f>
        <v>44167</v>
      </c>
      <c r="B66" s="34">
        <f t="shared" si="10"/>
        <v>49</v>
      </c>
      <c r="C66" s="63">
        <f t="shared" si="11"/>
        <v>44167</v>
      </c>
      <c r="D66" s="19">
        <v>5</v>
      </c>
      <c r="E66" s="20"/>
      <c r="F66" s="21"/>
      <c r="G66" s="22"/>
      <c r="H66" s="22"/>
      <c r="I66" s="21"/>
      <c r="J66" s="22"/>
      <c r="K66" s="22"/>
      <c r="L66" s="23">
        <f t="shared" si="12"/>
        <v>0</v>
      </c>
      <c r="M66" s="22">
        <f t="shared" si="13"/>
        <v>0</v>
      </c>
      <c r="N66" s="24">
        <v>5</v>
      </c>
      <c r="O66" s="25">
        <v>1</v>
      </c>
      <c r="P66" s="25">
        <f t="shared" si="18"/>
        <v>0</v>
      </c>
      <c r="Q66" s="26"/>
      <c r="R66" s="26"/>
      <c r="S66" s="26"/>
      <c r="T66" s="27"/>
      <c r="U66" s="28">
        <f t="shared" si="14"/>
        <v>0</v>
      </c>
      <c r="V66" s="22"/>
      <c r="W66" s="22"/>
      <c r="X66" s="40"/>
      <c r="Y66" s="22"/>
      <c r="Z66" s="40"/>
      <c r="AA66" s="40"/>
      <c r="AB66" s="40"/>
      <c r="AC66" s="29" t="str">
        <f t="shared" si="15"/>
        <v/>
      </c>
      <c r="AD66" s="30" t="str">
        <f t="shared" si="16"/>
        <v/>
      </c>
      <c r="AE66" s="30" t="str">
        <f t="shared" si="17"/>
        <v/>
      </c>
      <c r="AF66" s="7">
        <f>+COUNT(AD62:AD66)</f>
        <v>1</v>
      </c>
      <c r="AG66" s="7">
        <f>+COUNT(AE61:AE66)</f>
        <v>0</v>
      </c>
    </row>
    <row r="67" spans="1:33" ht="20.25" customHeight="1" x14ac:dyDescent="0.2">
      <c r="A67" s="17">
        <f>+A62+1</f>
        <v>44168</v>
      </c>
      <c r="B67" s="18">
        <f>WEEKNUM(A67,2)</f>
        <v>49</v>
      </c>
      <c r="C67" s="61">
        <f t="shared" si="11"/>
        <v>44168</v>
      </c>
      <c r="D67" s="19">
        <v>1</v>
      </c>
      <c r="E67" s="20" t="s">
        <v>25</v>
      </c>
      <c r="F67" s="21">
        <v>44168.407905092594</v>
      </c>
      <c r="G67" s="22">
        <v>1843</v>
      </c>
      <c r="H67" s="22"/>
      <c r="I67" s="21">
        <v>44168.409386574072</v>
      </c>
      <c r="J67" s="22">
        <v>1843.2</v>
      </c>
      <c r="K67" s="22"/>
      <c r="L67" s="23">
        <f t="shared" si="12"/>
        <v>1.48148147854954E-3</v>
      </c>
      <c r="M67" s="22">
        <f t="shared" si="13"/>
        <v>0.20000000000004547</v>
      </c>
      <c r="N67" s="24">
        <v>5</v>
      </c>
      <c r="O67" s="25">
        <v>1</v>
      </c>
      <c r="P67" s="25">
        <f>+IF(J67&gt;0,O67*0.8,0)</f>
        <v>0.8</v>
      </c>
      <c r="Q67" s="26"/>
      <c r="R67" s="26"/>
      <c r="S67" s="26"/>
      <c r="T67" s="27"/>
      <c r="U67" s="83">
        <f t="shared" si="14"/>
        <v>0.20000000000022733</v>
      </c>
      <c r="V67" s="22">
        <f>SUM(U67:U71)</f>
        <v>-47.199999999999775</v>
      </c>
      <c r="W67" s="74">
        <f>+Tabla1[[#This Row],[RESULTADO DEL DÍA]]+W62</f>
        <v>2218.2000000000016</v>
      </c>
      <c r="X67" s="22">
        <f>+X62+Tabla1[[#This Row],[Objetivo presupuestado]]</f>
        <v>2650</v>
      </c>
      <c r="Y67" s="22">
        <f>IF(AF67=0,"0",10)</f>
        <v>10</v>
      </c>
      <c r="Z67" s="22">
        <f>IF(AF67=0,"0",50)</f>
        <v>50</v>
      </c>
      <c r="AA67" s="27">
        <f>+IFERROR(AF70/(AG70*-1),AF70)</f>
        <v>2.2222222222227275E-2</v>
      </c>
      <c r="AB67" s="75">
        <f>+IFERROR(AF71/AF67,"0")</f>
        <v>0.25</v>
      </c>
      <c r="AC67" s="29">
        <f t="shared" si="15"/>
        <v>1</v>
      </c>
      <c r="AD67" s="30">
        <f t="shared" si="16"/>
        <v>0.20000000000004547</v>
      </c>
      <c r="AE67" s="30" t="str">
        <f t="shared" si="17"/>
        <v/>
      </c>
      <c r="AF67" s="9">
        <f>+COUNTIF(AC67:AC71,"1")</f>
        <v>4</v>
      </c>
    </row>
    <row r="68" spans="1:33" ht="20.25" customHeight="1" x14ac:dyDescent="0.2">
      <c r="A68" s="31">
        <f>+A67</f>
        <v>44168</v>
      </c>
      <c r="B68" s="32">
        <f t="shared" si="10"/>
        <v>49</v>
      </c>
      <c r="C68" s="62">
        <f t="shared" si="11"/>
        <v>44168</v>
      </c>
      <c r="D68" s="19">
        <v>2</v>
      </c>
      <c r="E68" s="20" t="s">
        <v>25</v>
      </c>
      <c r="F68" s="21">
        <v>44168.472303240742</v>
      </c>
      <c r="G68" s="22">
        <v>1857.3</v>
      </c>
      <c r="H68" s="22"/>
      <c r="I68" s="21">
        <v>44168.489525462966</v>
      </c>
      <c r="J68" s="22">
        <v>1854.3</v>
      </c>
      <c r="K68" s="22"/>
      <c r="L68" s="23">
        <f t="shared" si="12"/>
        <v>1.7222222224518191E-2</v>
      </c>
      <c r="M68" s="22">
        <f t="shared" si="13"/>
        <v>-3</v>
      </c>
      <c r="N68" s="24">
        <v>5</v>
      </c>
      <c r="O68" s="25">
        <v>1</v>
      </c>
      <c r="P68" s="25">
        <f>+IF(J68&gt;0,O68*0.8,0)</f>
        <v>0.8</v>
      </c>
      <c r="Q68" s="26"/>
      <c r="R68" s="26"/>
      <c r="S68" s="26"/>
      <c r="T68" s="27"/>
      <c r="U68" s="83">
        <f t="shared" si="14"/>
        <v>-15.8</v>
      </c>
      <c r="V68" s="22"/>
      <c r="W68" s="22"/>
      <c r="X68" s="40"/>
      <c r="Y68" s="22"/>
      <c r="Z68" s="40"/>
      <c r="AA68" s="73"/>
      <c r="AB68" s="73"/>
      <c r="AC68" s="29">
        <f t="shared" si="15"/>
        <v>1</v>
      </c>
      <c r="AD68" s="30" t="str">
        <f t="shared" si="16"/>
        <v/>
      </c>
      <c r="AE68" s="30">
        <f t="shared" si="17"/>
        <v>-3</v>
      </c>
      <c r="AF68" s="2"/>
    </row>
    <row r="69" spans="1:33" ht="20.25" customHeight="1" x14ac:dyDescent="0.2">
      <c r="A69" s="31">
        <f>+A68</f>
        <v>44168</v>
      </c>
      <c r="B69" s="32">
        <f t="shared" si="10"/>
        <v>49</v>
      </c>
      <c r="C69" s="62">
        <f t="shared" si="11"/>
        <v>44168</v>
      </c>
      <c r="D69" s="19">
        <v>3</v>
      </c>
      <c r="E69" s="20" t="s">
        <v>26</v>
      </c>
      <c r="F69" s="21">
        <v>44168.632048611114</v>
      </c>
      <c r="G69" s="22">
        <v>1854.6</v>
      </c>
      <c r="H69" s="22"/>
      <c r="I69" s="21">
        <v>44168.637777777774</v>
      </c>
      <c r="J69" s="22">
        <v>1857.6</v>
      </c>
      <c r="K69" s="22"/>
      <c r="L69" s="23">
        <f t="shared" si="12"/>
        <v>5.7291666598757729E-3</v>
      </c>
      <c r="M69" s="22">
        <f t="shared" si="13"/>
        <v>-3</v>
      </c>
      <c r="N69" s="24">
        <v>5</v>
      </c>
      <c r="O69" s="25">
        <v>1</v>
      </c>
      <c r="P69" s="25">
        <f>+IF(J69&gt;0,O69*0.8,0)</f>
        <v>0.8</v>
      </c>
      <c r="Q69" s="26"/>
      <c r="R69" s="26"/>
      <c r="S69" s="26"/>
      <c r="T69" s="27"/>
      <c r="U69" s="83">
        <f t="shared" si="14"/>
        <v>-15.8</v>
      </c>
      <c r="V69" s="22"/>
      <c r="W69" s="22"/>
      <c r="X69" s="40"/>
      <c r="Y69" s="22"/>
      <c r="Z69" s="40"/>
      <c r="AA69" s="40"/>
      <c r="AB69" s="40"/>
      <c r="AC69" s="29">
        <f t="shared" si="15"/>
        <v>1</v>
      </c>
      <c r="AD69" s="30" t="str">
        <f t="shared" si="16"/>
        <v/>
      </c>
      <c r="AE69" s="30">
        <f t="shared" si="17"/>
        <v>-3</v>
      </c>
      <c r="AF69" s="2"/>
    </row>
    <row r="70" spans="1:33" ht="20.25" customHeight="1" x14ac:dyDescent="0.2">
      <c r="A70" s="31">
        <f>+A69</f>
        <v>44168</v>
      </c>
      <c r="B70" s="32">
        <f t="shared" si="10"/>
        <v>49</v>
      </c>
      <c r="C70" s="62">
        <f t="shared" si="11"/>
        <v>44168</v>
      </c>
      <c r="D70" s="19">
        <v>4</v>
      </c>
      <c r="E70" s="20" t="s">
        <v>25</v>
      </c>
      <c r="F70" s="21">
        <v>44168.638148148151</v>
      </c>
      <c r="G70" s="22">
        <v>1857.6</v>
      </c>
      <c r="H70" s="22"/>
      <c r="I70" s="21">
        <v>44168.652430555558</v>
      </c>
      <c r="J70" s="22">
        <v>1854.6</v>
      </c>
      <c r="K70" s="22"/>
      <c r="L70" s="23">
        <f t="shared" si="12"/>
        <v>1.4282407406426501E-2</v>
      </c>
      <c r="M70" s="22">
        <f t="shared" si="13"/>
        <v>-3</v>
      </c>
      <c r="N70" s="24">
        <v>5</v>
      </c>
      <c r="O70" s="25">
        <v>1</v>
      </c>
      <c r="P70" s="25">
        <f>+IF(J70&gt;0,O70*0.8,0)</f>
        <v>0.8</v>
      </c>
      <c r="Q70" s="26"/>
      <c r="R70" s="26"/>
      <c r="S70" s="26"/>
      <c r="T70" s="27"/>
      <c r="U70" s="83">
        <f t="shared" si="14"/>
        <v>-15.8</v>
      </c>
      <c r="V70" s="22"/>
      <c r="W70" s="22"/>
      <c r="X70" s="40"/>
      <c r="Y70" s="22"/>
      <c r="Z70" s="40"/>
      <c r="AA70" s="40"/>
      <c r="AB70" s="40"/>
      <c r="AC70" s="29">
        <f t="shared" si="15"/>
        <v>1</v>
      </c>
      <c r="AD70" s="30" t="str">
        <f t="shared" si="16"/>
        <v/>
      </c>
      <c r="AE70" s="30">
        <f t="shared" si="17"/>
        <v>-3</v>
      </c>
      <c r="AF70" s="6">
        <f>+SUM(AD67:AD71)</f>
        <v>0.20000000000004547</v>
      </c>
      <c r="AG70" s="6">
        <f>+SUM(AE66:AE71)</f>
        <v>-9</v>
      </c>
    </row>
    <row r="71" spans="1:33" ht="20.25" customHeight="1" x14ac:dyDescent="0.2">
      <c r="A71" s="33">
        <f>+A70</f>
        <v>44168</v>
      </c>
      <c r="B71" s="34">
        <f t="shared" si="10"/>
        <v>49</v>
      </c>
      <c r="C71" s="63">
        <f t="shared" si="11"/>
        <v>44168</v>
      </c>
      <c r="D71" s="19">
        <v>5</v>
      </c>
      <c r="E71" s="20"/>
      <c r="F71" s="21"/>
      <c r="G71" s="22"/>
      <c r="H71" s="22"/>
      <c r="I71" s="21"/>
      <c r="J71" s="22"/>
      <c r="K71" s="22"/>
      <c r="L71" s="23">
        <f t="shared" si="12"/>
        <v>0</v>
      </c>
      <c r="M71" s="22">
        <f t="shared" si="13"/>
        <v>0</v>
      </c>
      <c r="N71" s="24">
        <v>5</v>
      </c>
      <c r="O71" s="25">
        <v>1</v>
      </c>
      <c r="P71" s="25">
        <f t="shared" si="18"/>
        <v>0</v>
      </c>
      <c r="Q71" s="26"/>
      <c r="R71" s="26"/>
      <c r="S71" s="26"/>
      <c r="T71" s="27"/>
      <c r="U71" s="28">
        <f t="shared" si="14"/>
        <v>0</v>
      </c>
      <c r="V71" s="22"/>
      <c r="W71" s="22"/>
      <c r="X71" s="40"/>
      <c r="Y71" s="22"/>
      <c r="Z71" s="40"/>
      <c r="AA71" s="40"/>
      <c r="AB71" s="40"/>
      <c r="AC71" s="29" t="str">
        <f t="shared" si="15"/>
        <v/>
      </c>
      <c r="AD71" s="30" t="str">
        <f t="shared" si="16"/>
        <v/>
      </c>
      <c r="AE71" s="30" t="str">
        <f t="shared" si="17"/>
        <v/>
      </c>
      <c r="AF71" s="7">
        <f>+COUNT(AD67:AD71)</f>
        <v>1</v>
      </c>
      <c r="AG71" s="7">
        <f>+COUNT(AE66:AE71)</f>
        <v>3</v>
      </c>
    </row>
    <row r="72" spans="1:33" ht="20.25" customHeight="1" x14ac:dyDescent="0.2">
      <c r="A72" s="17">
        <f>+A67+1</f>
        <v>44169</v>
      </c>
      <c r="B72" s="18">
        <f>WEEKNUM(A72,2)</f>
        <v>49</v>
      </c>
      <c r="C72" s="61">
        <f t="shared" si="11"/>
        <v>44169</v>
      </c>
      <c r="D72" s="19">
        <v>1</v>
      </c>
      <c r="E72" s="20" t="s">
        <v>25</v>
      </c>
      <c r="F72" s="21">
        <v>44169.516712962963</v>
      </c>
      <c r="G72" s="22">
        <v>1881</v>
      </c>
      <c r="H72" s="22"/>
      <c r="I72" s="21">
        <v>44169.526412037034</v>
      </c>
      <c r="J72" s="22">
        <v>1881.1</v>
      </c>
      <c r="K72" s="22"/>
      <c r="L72" s="23">
        <f t="shared" si="12"/>
        <v>9.6990740712499246E-3</v>
      </c>
      <c r="M72" s="22">
        <f t="shared" si="13"/>
        <v>9.9999999999909051E-2</v>
      </c>
      <c r="N72" s="24">
        <v>5</v>
      </c>
      <c r="O72" s="25">
        <v>1</v>
      </c>
      <c r="P72" s="25">
        <f>+IF(J72&gt;0,O72*0.8,0)</f>
        <v>0.8</v>
      </c>
      <c r="Q72" s="26"/>
      <c r="R72" s="26"/>
      <c r="S72" s="26"/>
      <c r="T72" s="27"/>
      <c r="U72" s="83">
        <f t="shared" si="14"/>
        <v>-0.30000000000045479</v>
      </c>
      <c r="V72" s="22">
        <f>SUM(U72:U76)</f>
        <v>-0.30000000000045479</v>
      </c>
      <c r="W72" s="74">
        <f>+Tabla1[[#This Row],[RESULTADO DEL DÍA]]+W67</f>
        <v>2217.900000000001</v>
      </c>
      <c r="X72" s="22">
        <f>+X67+Tabla1[[#This Row],[Objetivo presupuestado]]</f>
        <v>2700</v>
      </c>
      <c r="Y72" s="22">
        <f>IF(AF72=0,"0",10)</f>
        <v>10</v>
      </c>
      <c r="Z72" s="22">
        <f>IF(AF72=0,"0",50)</f>
        <v>50</v>
      </c>
      <c r="AA72" s="27">
        <f>+IFERROR(AF75/(AG75*-1),AF75)</f>
        <v>9.9999999999909051E-2</v>
      </c>
      <c r="AB72" s="75">
        <f>+IFERROR(AF76/AF72,"0")</f>
        <v>1</v>
      </c>
      <c r="AC72" s="29">
        <f t="shared" si="15"/>
        <v>1</v>
      </c>
      <c r="AD72" s="30">
        <f t="shared" si="16"/>
        <v>9.9999999999909051E-2</v>
      </c>
      <c r="AE72" s="30" t="str">
        <f t="shared" si="17"/>
        <v/>
      </c>
      <c r="AF72" s="9">
        <f>+COUNTIF(AC72:AC76,"1")</f>
        <v>1</v>
      </c>
    </row>
    <row r="73" spans="1:33" ht="20.25" customHeight="1" x14ac:dyDescent="0.2">
      <c r="A73" s="31">
        <f>+A72</f>
        <v>44169</v>
      </c>
      <c r="B73" s="32">
        <f t="shared" si="10"/>
        <v>49</v>
      </c>
      <c r="C73" s="62">
        <f t="shared" si="11"/>
        <v>44169</v>
      </c>
      <c r="D73" s="19">
        <v>2</v>
      </c>
      <c r="E73" s="20"/>
      <c r="F73" s="21"/>
      <c r="G73" s="22"/>
      <c r="H73" s="22"/>
      <c r="I73" s="21"/>
      <c r="J73" s="22"/>
      <c r="K73" s="22"/>
      <c r="L73" s="23">
        <f t="shared" si="12"/>
        <v>0</v>
      </c>
      <c r="M73" s="22">
        <f t="shared" si="13"/>
        <v>0</v>
      </c>
      <c r="N73" s="24">
        <v>5</v>
      </c>
      <c r="O73" s="25">
        <v>1</v>
      </c>
      <c r="P73" s="25">
        <f t="shared" si="18"/>
        <v>0</v>
      </c>
      <c r="Q73" s="26"/>
      <c r="R73" s="26"/>
      <c r="S73" s="26"/>
      <c r="T73" s="27"/>
      <c r="U73" s="28">
        <f t="shared" si="14"/>
        <v>0</v>
      </c>
      <c r="V73" s="22"/>
      <c r="W73" s="22"/>
      <c r="X73" s="40"/>
      <c r="Y73" s="22"/>
      <c r="Z73" s="40"/>
      <c r="AA73" s="73"/>
      <c r="AB73" s="73"/>
      <c r="AC73" s="29" t="str">
        <f t="shared" si="15"/>
        <v/>
      </c>
      <c r="AD73" s="30" t="str">
        <f t="shared" si="16"/>
        <v/>
      </c>
      <c r="AE73" s="30" t="str">
        <f t="shared" si="17"/>
        <v/>
      </c>
      <c r="AF73" s="2"/>
    </row>
    <row r="74" spans="1:33" ht="20.25" customHeight="1" x14ac:dyDescent="0.2">
      <c r="A74" s="31">
        <f>+A73</f>
        <v>44169</v>
      </c>
      <c r="B74" s="32">
        <f t="shared" si="10"/>
        <v>49</v>
      </c>
      <c r="C74" s="62">
        <f t="shared" si="11"/>
        <v>44169</v>
      </c>
      <c r="D74" s="19">
        <v>3</v>
      </c>
      <c r="E74" s="20"/>
      <c r="F74" s="21"/>
      <c r="G74" s="22"/>
      <c r="H74" s="22"/>
      <c r="I74" s="21"/>
      <c r="J74" s="22"/>
      <c r="K74" s="22"/>
      <c r="L74" s="23">
        <f t="shared" si="12"/>
        <v>0</v>
      </c>
      <c r="M74" s="22">
        <f t="shared" si="13"/>
        <v>0</v>
      </c>
      <c r="N74" s="24">
        <v>5</v>
      </c>
      <c r="O74" s="25">
        <v>1</v>
      </c>
      <c r="P74" s="25">
        <f t="shared" si="18"/>
        <v>0</v>
      </c>
      <c r="Q74" s="26"/>
      <c r="R74" s="26"/>
      <c r="S74" s="26"/>
      <c r="T74" s="27"/>
      <c r="U74" s="28">
        <f t="shared" si="14"/>
        <v>0</v>
      </c>
      <c r="V74" s="22"/>
      <c r="W74" s="22"/>
      <c r="X74" s="40"/>
      <c r="Y74" s="22"/>
      <c r="Z74" s="40"/>
      <c r="AA74" s="40"/>
      <c r="AB74" s="40"/>
      <c r="AC74" s="29" t="str">
        <f t="shared" si="15"/>
        <v/>
      </c>
      <c r="AD74" s="30" t="str">
        <f t="shared" si="16"/>
        <v/>
      </c>
      <c r="AE74" s="30" t="str">
        <f t="shared" si="17"/>
        <v/>
      </c>
      <c r="AF74" s="2"/>
    </row>
    <row r="75" spans="1:33" ht="20.25" customHeight="1" x14ac:dyDescent="0.2">
      <c r="A75" s="31">
        <f>+A74</f>
        <v>44169</v>
      </c>
      <c r="B75" s="32">
        <f t="shared" si="10"/>
        <v>49</v>
      </c>
      <c r="C75" s="62">
        <f t="shared" si="11"/>
        <v>44169</v>
      </c>
      <c r="D75" s="19">
        <v>4</v>
      </c>
      <c r="E75" s="20"/>
      <c r="F75" s="21"/>
      <c r="G75" s="22"/>
      <c r="H75" s="22"/>
      <c r="I75" s="21"/>
      <c r="J75" s="22"/>
      <c r="K75" s="22"/>
      <c r="L75" s="23">
        <f t="shared" si="12"/>
        <v>0</v>
      </c>
      <c r="M75" s="22">
        <f t="shared" si="13"/>
        <v>0</v>
      </c>
      <c r="N75" s="24">
        <v>5</v>
      </c>
      <c r="O75" s="25">
        <v>1</v>
      </c>
      <c r="P75" s="25">
        <f t="shared" si="18"/>
        <v>0</v>
      </c>
      <c r="Q75" s="26"/>
      <c r="R75" s="26"/>
      <c r="S75" s="26"/>
      <c r="T75" s="27"/>
      <c r="U75" s="28">
        <f t="shared" si="14"/>
        <v>0</v>
      </c>
      <c r="V75" s="22"/>
      <c r="W75" s="22"/>
      <c r="X75" s="40"/>
      <c r="Y75" s="22"/>
      <c r="Z75" s="40"/>
      <c r="AA75" s="40"/>
      <c r="AB75" s="40"/>
      <c r="AC75" s="29" t="str">
        <f t="shared" si="15"/>
        <v/>
      </c>
      <c r="AD75" s="30" t="str">
        <f t="shared" si="16"/>
        <v/>
      </c>
      <c r="AE75" s="30" t="str">
        <f t="shared" si="17"/>
        <v/>
      </c>
      <c r="AF75" s="6">
        <f>+SUM(AD72:AD76)</f>
        <v>9.9999999999909051E-2</v>
      </c>
      <c r="AG75" s="6">
        <f>+SUM(AE71:AE76)</f>
        <v>0</v>
      </c>
    </row>
    <row r="76" spans="1:33" ht="20.25" customHeight="1" x14ac:dyDescent="0.2">
      <c r="A76" s="33">
        <f>+A75</f>
        <v>44169</v>
      </c>
      <c r="B76" s="34">
        <f t="shared" si="10"/>
        <v>49</v>
      </c>
      <c r="C76" s="63">
        <f t="shared" si="11"/>
        <v>44169</v>
      </c>
      <c r="D76" s="19">
        <v>5</v>
      </c>
      <c r="E76" s="20"/>
      <c r="F76" s="21"/>
      <c r="G76" s="22"/>
      <c r="H76" s="22"/>
      <c r="I76" s="21"/>
      <c r="J76" s="22"/>
      <c r="K76" s="22"/>
      <c r="L76" s="23">
        <f t="shared" si="12"/>
        <v>0</v>
      </c>
      <c r="M76" s="22">
        <f t="shared" si="13"/>
        <v>0</v>
      </c>
      <c r="N76" s="24">
        <v>5</v>
      </c>
      <c r="O76" s="25">
        <v>1</v>
      </c>
      <c r="P76" s="25">
        <f t="shared" si="18"/>
        <v>0</v>
      </c>
      <c r="Q76" s="26"/>
      <c r="R76" s="26"/>
      <c r="S76" s="26"/>
      <c r="T76" s="27"/>
      <c r="U76" s="28">
        <f t="shared" si="14"/>
        <v>0</v>
      </c>
      <c r="V76" s="22"/>
      <c r="W76" s="22"/>
      <c r="X76" s="40"/>
      <c r="Y76" s="22"/>
      <c r="Z76" s="40"/>
      <c r="AA76" s="40"/>
      <c r="AB76" s="40"/>
      <c r="AC76" s="29" t="str">
        <f t="shared" si="15"/>
        <v/>
      </c>
      <c r="AD76" s="30" t="str">
        <f t="shared" si="16"/>
        <v/>
      </c>
      <c r="AE76" s="30" t="str">
        <f t="shared" si="17"/>
        <v/>
      </c>
      <c r="AF76" s="7">
        <f>+COUNT(AD72:AD76)</f>
        <v>1</v>
      </c>
      <c r="AG76" s="7">
        <f>+COUNT(AE71:AE76)</f>
        <v>0</v>
      </c>
    </row>
    <row r="77" spans="1:33" ht="20.25" customHeight="1" x14ac:dyDescent="0.2">
      <c r="A77" s="17">
        <f>+A72+1</f>
        <v>44170</v>
      </c>
      <c r="B77" s="18">
        <f>WEEKNUM(A77,2)</f>
        <v>49</v>
      </c>
      <c r="C77" s="61">
        <f t="shared" si="11"/>
        <v>44170</v>
      </c>
      <c r="D77" s="19">
        <v>1</v>
      </c>
      <c r="E77" s="20"/>
      <c r="F77" s="21"/>
      <c r="G77" s="22"/>
      <c r="H77" s="22"/>
      <c r="I77" s="21"/>
      <c r="J77" s="22"/>
      <c r="K77" s="22"/>
      <c r="L77" s="23">
        <f t="shared" si="12"/>
        <v>0</v>
      </c>
      <c r="M77" s="22">
        <f t="shared" si="13"/>
        <v>0</v>
      </c>
      <c r="N77" s="24">
        <v>5</v>
      </c>
      <c r="O77" s="25">
        <v>1</v>
      </c>
      <c r="P77" s="25">
        <f t="shared" si="18"/>
        <v>0</v>
      </c>
      <c r="Q77" s="26"/>
      <c r="R77" s="26"/>
      <c r="S77" s="26"/>
      <c r="T77" s="27"/>
      <c r="U77" s="28">
        <f t="shared" si="14"/>
        <v>0</v>
      </c>
      <c r="V77" s="22">
        <f>SUM(U77:U81)</f>
        <v>0</v>
      </c>
      <c r="W77" s="74">
        <f>+Tabla1[[#This Row],[RESULTADO DEL DÍA]]+W72</f>
        <v>2217.900000000001</v>
      </c>
      <c r="X77" s="22">
        <f>+X72+Tabla1[[#This Row],[Objetivo presupuestado]]</f>
        <v>2700</v>
      </c>
      <c r="Y77" s="22" t="str">
        <f>IF(AF77=0,"0",10)</f>
        <v>0</v>
      </c>
      <c r="Z77" s="22" t="str">
        <f>IF(AF77=0,"0",50)</f>
        <v>0</v>
      </c>
      <c r="AA77" s="27">
        <f>+IFERROR(AF80/(AG80*-1),AF80)</f>
        <v>0</v>
      </c>
      <c r="AB77" s="75" t="str">
        <f>+IFERROR(AF81/AF77,"0")</f>
        <v>0</v>
      </c>
      <c r="AC77" s="29" t="str">
        <f t="shared" si="15"/>
        <v/>
      </c>
      <c r="AD77" s="30" t="str">
        <f t="shared" si="16"/>
        <v/>
      </c>
      <c r="AE77" s="30" t="str">
        <f t="shared" si="17"/>
        <v/>
      </c>
      <c r="AF77" s="9">
        <f>+COUNTIF(AC77:AC81,"1")</f>
        <v>0</v>
      </c>
    </row>
    <row r="78" spans="1:33" ht="20.25" customHeight="1" x14ac:dyDescent="0.2">
      <c r="A78" s="31">
        <f>+A77</f>
        <v>44170</v>
      </c>
      <c r="B78" s="32">
        <f t="shared" si="10"/>
        <v>49</v>
      </c>
      <c r="C78" s="62">
        <f t="shared" si="11"/>
        <v>44170</v>
      </c>
      <c r="D78" s="19">
        <v>2</v>
      </c>
      <c r="E78" s="20"/>
      <c r="F78" s="21"/>
      <c r="G78" s="22"/>
      <c r="H78" s="22"/>
      <c r="I78" s="21"/>
      <c r="J78" s="22"/>
      <c r="K78" s="22"/>
      <c r="L78" s="23">
        <f t="shared" si="12"/>
        <v>0</v>
      </c>
      <c r="M78" s="22">
        <f t="shared" si="13"/>
        <v>0</v>
      </c>
      <c r="N78" s="24">
        <v>5</v>
      </c>
      <c r="O78" s="25">
        <v>1</v>
      </c>
      <c r="P78" s="25">
        <f t="shared" si="18"/>
        <v>0</v>
      </c>
      <c r="Q78" s="26"/>
      <c r="R78" s="26"/>
      <c r="S78" s="26"/>
      <c r="T78" s="27"/>
      <c r="U78" s="28">
        <f t="shared" si="14"/>
        <v>0</v>
      </c>
      <c r="V78" s="22"/>
      <c r="W78" s="22"/>
      <c r="X78" s="40"/>
      <c r="Y78" s="22"/>
      <c r="Z78" s="40"/>
      <c r="AA78" s="73"/>
      <c r="AB78" s="73"/>
      <c r="AC78" s="29" t="str">
        <f t="shared" si="15"/>
        <v/>
      </c>
      <c r="AD78" s="30" t="str">
        <f t="shared" si="16"/>
        <v/>
      </c>
      <c r="AE78" s="30" t="str">
        <f t="shared" si="17"/>
        <v/>
      </c>
      <c r="AF78" s="2"/>
    </row>
    <row r="79" spans="1:33" ht="20.25" customHeight="1" x14ac:dyDescent="0.2">
      <c r="A79" s="31">
        <f>+A78</f>
        <v>44170</v>
      </c>
      <c r="B79" s="32">
        <f>+B78</f>
        <v>49</v>
      </c>
      <c r="C79" s="62">
        <f t="shared" si="11"/>
        <v>44170</v>
      </c>
      <c r="D79" s="19">
        <v>3</v>
      </c>
      <c r="E79" s="20"/>
      <c r="F79" s="21"/>
      <c r="G79" s="22"/>
      <c r="H79" s="22"/>
      <c r="I79" s="21"/>
      <c r="J79" s="22"/>
      <c r="K79" s="22"/>
      <c r="L79" s="23">
        <f t="shared" si="12"/>
        <v>0</v>
      </c>
      <c r="M79" s="22">
        <f t="shared" si="13"/>
        <v>0</v>
      </c>
      <c r="N79" s="24">
        <v>5</v>
      </c>
      <c r="O79" s="25">
        <v>1</v>
      </c>
      <c r="P79" s="25">
        <f t="shared" si="18"/>
        <v>0</v>
      </c>
      <c r="Q79" s="26"/>
      <c r="R79" s="26"/>
      <c r="S79" s="26"/>
      <c r="T79" s="27"/>
      <c r="U79" s="28">
        <f t="shared" si="14"/>
        <v>0</v>
      </c>
      <c r="V79" s="22"/>
      <c r="W79" s="22"/>
      <c r="X79" s="40"/>
      <c r="Y79" s="22"/>
      <c r="Z79" s="40"/>
      <c r="AA79" s="40"/>
      <c r="AB79" s="40"/>
      <c r="AC79" s="29" t="str">
        <f t="shared" si="15"/>
        <v/>
      </c>
      <c r="AD79" s="30" t="str">
        <f t="shared" si="16"/>
        <v/>
      </c>
      <c r="AE79" s="30" t="str">
        <f t="shared" si="17"/>
        <v/>
      </c>
      <c r="AF79" s="2"/>
    </row>
    <row r="80" spans="1:33" ht="20.25" customHeight="1" x14ac:dyDescent="0.2">
      <c r="A80" s="31">
        <f>+A79</f>
        <v>44170</v>
      </c>
      <c r="B80" s="32">
        <f>+B79</f>
        <v>49</v>
      </c>
      <c r="C80" s="62">
        <f t="shared" si="11"/>
        <v>44170</v>
      </c>
      <c r="D80" s="19">
        <v>4</v>
      </c>
      <c r="E80" s="20"/>
      <c r="F80" s="21"/>
      <c r="G80" s="22"/>
      <c r="H80" s="22"/>
      <c r="I80" s="21"/>
      <c r="J80" s="22"/>
      <c r="K80" s="22"/>
      <c r="L80" s="23">
        <f t="shared" si="12"/>
        <v>0</v>
      </c>
      <c r="M80" s="22">
        <f t="shared" si="13"/>
        <v>0</v>
      </c>
      <c r="N80" s="24">
        <v>5</v>
      </c>
      <c r="O80" s="25">
        <v>1</v>
      </c>
      <c r="P80" s="25">
        <f t="shared" si="18"/>
        <v>0</v>
      </c>
      <c r="Q80" s="26"/>
      <c r="R80" s="26"/>
      <c r="S80" s="26"/>
      <c r="T80" s="27"/>
      <c r="U80" s="28">
        <f t="shared" si="14"/>
        <v>0</v>
      </c>
      <c r="V80" s="22"/>
      <c r="W80" s="22"/>
      <c r="X80" s="40"/>
      <c r="Y80" s="22"/>
      <c r="Z80" s="40"/>
      <c r="AA80" s="40"/>
      <c r="AB80" s="40"/>
      <c r="AC80" s="29" t="str">
        <f t="shared" si="15"/>
        <v/>
      </c>
      <c r="AD80" s="30" t="str">
        <f t="shared" si="16"/>
        <v/>
      </c>
      <c r="AE80" s="30" t="str">
        <f t="shared" si="17"/>
        <v/>
      </c>
      <c r="AF80" s="6">
        <f>+SUM(AD77:AD81)</f>
        <v>0</v>
      </c>
      <c r="AG80" s="6">
        <f>+SUM(AE76:AE81)</f>
        <v>0</v>
      </c>
    </row>
    <row r="81" spans="1:33" ht="20.25" customHeight="1" x14ac:dyDescent="0.2">
      <c r="A81" s="33">
        <f>+A80</f>
        <v>44170</v>
      </c>
      <c r="B81" s="34">
        <f>+B80</f>
        <v>49</v>
      </c>
      <c r="C81" s="63">
        <f t="shared" ref="C81:C144" si="19">+A81</f>
        <v>44170</v>
      </c>
      <c r="D81" s="19">
        <v>5</v>
      </c>
      <c r="E81" s="20"/>
      <c r="F81" s="21"/>
      <c r="G81" s="22"/>
      <c r="H81" s="22"/>
      <c r="I81" s="21"/>
      <c r="J81" s="22"/>
      <c r="K81" s="22"/>
      <c r="L81" s="23">
        <f t="shared" ref="L81:L144" si="20">+I81-F81</f>
        <v>0</v>
      </c>
      <c r="M81" s="22">
        <f t="shared" ref="M81:M144" si="21">+IF(E81="buy",J81-G81,G81-J81)</f>
        <v>0</v>
      </c>
      <c r="N81" s="24">
        <v>5</v>
      </c>
      <c r="O81" s="25">
        <v>1</v>
      </c>
      <c r="P81" s="25">
        <f t="shared" ref="P81:P144" si="22">+IF(J81&gt;0,O81*1,0)</f>
        <v>0</v>
      </c>
      <c r="Q81" s="26"/>
      <c r="R81" s="26"/>
      <c r="S81" s="26"/>
      <c r="T81" s="27"/>
      <c r="U81" s="28">
        <f t="shared" ref="U81:U144" si="23">+O81*N81*M81-P81</f>
        <v>0</v>
      </c>
      <c r="V81" s="22"/>
      <c r="W81" s="22"/>
      <c r="X81" s="40"/>
      <c r="Y81" s="22"/>
      <c r="Z81" s="40"/>
      <c r="AA81" s="40"/>
      <c r="AB81" s="40"/>
      <c r="AC81" s="29" t="str">
        <f t="shared" ref="AC81:AC144" si="24">+IF(G81&gt;0,1,"")</f>
        <v/>
      </c>
      <c r="AD81" s="30" t="str">
        <f t="shared" ref="AD81:AD144" si="25">+IF(M81&gt;0,M81,"")</f>
        <v/>
      </c>
      <c r="AE81" s="30" t="str">
        <f t="shared" ref="AE81:AE144" si="26">+IF(M81&lt;0,M81,"")</f>
        <v/>
      </c>
      <c r="AF81" s="7">
        <f>+COUNT(AD77:AD81)</f>
        <v>0</v>
      </c>
      <c r="AG81" s="7">
        <f>+COUNT(AE76:AE81)</f>
        <v>0</v>
      </c>
    </row>
    <row r="82" spans="1:33" ht="20.25" customHeight="1" x14ac:dyDescent="0.2">
      <c r="A82" s="17">
        <f>+A77+1</f>
        <v>44171</v>
      </c>
      <c r="B82" s="18">
        <f>WEEKNUM(A82,2)</f>
        <v>49</v>
      </c>
      <c r="C82" s="61">
        <f t="shared" si="19"/>
        <v>44171</v>
      </c>
      <c r="D82" s="19">
        <v>1</v>
      </c>
      <c r="E82" s="20"/>
      <c r="F82" s="21"/>
      <c r="G82" s="22"/>
      <c r="H82" s="22"/>
      <c r="I82" s="21"/>
      <c r="J82" s="22"/>
      <c r="K82" s="22"/>
      <c r="L82" s="23">
        <f t="shared" si="20"/>
        <v>0</v>
      </c>
      <c r="M82" s="22">
        <f t="shared" si="21"/>
        <v>0</v>
      </c>
      <c r="N82" s="24">
        <v>5</v>
      </c>
      <c r="O82" s="25">
        <v>1</v>
      </c>
      <c r="P82" s="25">
        <f t="shared" si="22"/>
        <v>0</v>
      </c>
      <c r="Q82" s="26"/>
      <c r="R82" s="26"/>
      <c r="S82" s="26"/>
      <c r="T82" s="27"/>
      <c r="U82" s="28">
        <f t="shared" si="23"/>
        <v>0</v>
      </c>
      <c r="V82" s="22">
        <f>SUM(U82:U86)</f>
        <v>0</v>
      </c>
      <c r="W82" s="74">
        <f>+Tabla1[[#This Row],[RESULTADO DEL DÍA]]+W77</f>
        <v>2217.900000000001</v>
      </c>
      <c r="X82" s="22">
        <f>+X77+Tabla1[[#This Row],[Objetivo presupuestado]]</f>
        <v>2700</v>
      </c>
      <c r="Y82" s="22" t="str">
        <f>IF(AF82=0,"0",10)</f>
        <v>0</v>
      </c>
      <c r="Z82" s="22" t="str">
        <f>IF(AF82=0,"0",50)</f>
        <v>0</v>
      </c>
      <c r="AA82" s="27">
        <f>+IFERROR(AF85/(AG85*-1),AF85)</f>
        <v>0</v>
      </c>
      <c r="AB82" s="75" t="str">
        <f>+IFERROR(AF86/AF82,"0")</f>
        <v>0</v>
      </c>
      <c r="AC82" s="29" t="str">
        <f t="shared" si="24"/>
        <v/>
      </c>
      <c r="AD82" s="30" t="str">
        <f t="shared" si="25"/>
        <v/>
      </c>
      <c r="AE82" s="30" t="str">
        <f t="shared" si="26"/>
        <v/>
      </c>
      <c r="AF82" s="9">
        <f>+COUNTIF(AC82:AC86,"1")</f>
        <v>0</v>
      </c>
    </row>
    <row r="83" spans="1:33" ht="20.25" customHeight="1" x14ac:dyDescent="0.2">
      <c r="A83" s="31">
        <f t="shared" ref="A83:B86" si="27">+A82</f>
        <v>44171</v>
      </c>
      <c r="B83" s="32">
        <f t="shared" si="27"/>
        <v>49</v>
      </c>
      <c r="C83" s="62">
        <f t="shared" si="19"/>
        <v>44171</v>
      </c>
      <c r="D83" s="19">
        <v>2</v>
      </c>
      <c r="E83" s="20"/>
      <c r="F83" s="21"/>
      <c r="G83" s="22"/>
      <c r="H83" s="22"/>
      <c r="I83" s="21"/>
      <c r="J83" s="22"/>
      <c r="K83" s="22"/>
      <c r="L83" s="23">
        <f t="shared" si="20"/>
        <v>0</v>
      </c>
      <c r="M83" s="22">
        <f t="shared" si="21"/>
        <v>0</v>
      </c>
      <c r="N83" s="24">
        <v>5</v>
      </c>
      <c r="O83" s="25">
        <v>1</v>
      </c>
      <c r="P83" s="25">
        <f t="shared" si="22"/>
        <v>0</v>
      </c>
      <c r="Q83" s="26"/>
      <c r="R83" s="26"/>
      <c r="S83" s="26"/>
      <c r="T83" s="27"/>
      <c r="U83" s="28">
        <f t="shared" si="23"/>
        <v>0</v>
      </c>
      <c r="V83" s="22"/>
      <c r="W83" s="22"/>
      <c r="X83" s="40"/>
      <c r="Y83" s="22"/>
      <c r="Z83" s="40"/>
      <c r="AA83" s="73"/>
      <c r="AB83" s="73"/>
      <c r="AC83" s="29" t="str">
        <f t="shared" si="24"/>
        <v/>
      </c>
      <c r="AD83" s="30" t="str">
        <f t="shared" si="25"/>
        <v/>
      </c>
      <c r="AE83" s="30" t="str">
        <f t="shared" si="26"/>
        <v/>
      </c>
      <c r="AF83" s="2"/>
    </row>
    <row r="84" spans="1:33" ht="20.25" customHeight="1" x14ac:dyDescent="0.2">
      <c r="A84" s="31">
        <f t="shared" si="27"/>
        <v>44171</v>
      </c>
      <c r="B84" s="32">
        <f t="shared" si="27"/>
        <v>49</v>
      </c>
      <c r="C84" s="62">
        <f t="shared" si="19"/>
        <v>44171</v>
      </c>
      <c r="D84" s="19">
        <v>3</v>
      </c>
      <c r="E84" s="20"/>
      <c r="F84" s="21"/>
      <c r="G84" s="22"/>
      <c r="H84" s="22"/>
      <c r="I84" s="21"/>
      <c r="J84" s="22"/>
      <c r="K84" s="22"/>
      <c r="L84" s="23">
        <f t="shared" si="20"/>
        <v>0</v>
      </c>
      <c r="M84" s="22">
        <f t="shared" si="21"/>
        <v>0</v>
      </c>
      <c r="N84" s="24">
        <v>5</v>
      </c>
      <c r="O84" s="25">
        <v>1</v>
      </c>
      <c r="P84" s="25">
        <f t="shared" si="22"/>
        <v>0</v>
      </c>
      <c r="Q84" s="26"/>
      <c r="R84" s="26"/>
      <c r="S84" s="26"/>
      <c r="T84" s="27"/>
      <c r="U84" s="28">
        <f t="shared" si="23"/>
        <v>0</v>
      </c>
      <c r="V84" s="22"/>
      <c r="W84" s="22"/>
      <c r="X84" s="40"/>
      <c r="Y84" s="22"/>
      <c r="Z84" s="40"/>
      <c r="AA84" s="40"/>
      <c r="AB84" s="40"/>
      <c r="AC84" s="29" t="str">
        <f t="shared" si="24"/>
        <v/>
      </c>
      <c r="AD84" s="30" t="str">
        <f t="shared" si="25"/>
        <v/>
      </c>
      <c r="AE84" s="30" t="str">
        <f t="shared" si="26"/>
        <v/>
      </c>
      <c r="AF84" s="2"/>
    </row>
    <row r="85" spans="1:33" ht="20.25" customHeight="1" x14ac:dyDescent="0.2">
      <c r="A85" s="31">
        <f t="shared" si="27"/>
        <v>44171</v>
      </c>
      <c r="B85" s="32">
        <f t="shared" si="27"/>
        <v>49</v>
      </c>
      <c r="C85" s="62">
        <f t="shared" si="19"/>
        <v>44171</v>
      </c>
      <c r="D85" s="19">
        <v>4</v>
      </c>
      <c r="E85" s="20"/>
      <c r="F85" s="21"/>
      <c r="G85" s="22"/>
      <c r="H85" s="22"/>
      <c r="I85" s="21"/>
      <c r="J85" s="22"/>
      <c r="K85" s="22"/>
      <c r="L85" s="23">
        <f t="shared" si="20"/>
        <v>0</v>
      </c>
      <c r="M85" s="22">
        <f t="shared" si="21"/>
        <v>0</v>
      </c>
      <c r="N85" s="24">
        <v>5</v>
      </c>
      <c r="O85" s="25">
        <v>1</v>
      </c>
      <c r="P85" s="25">
        <f t="shared" si="22"/>
        <v>0</v>
      </c>
      <c r="Q85" s="26"/>
      <c r="R85" s="26"/>
      <c r="S85" s="26"/>
      <c r="T85" s="27"/>
      <c r="U85" s="28">
        <f t="shared" si="23"/>
        <v>0</v>
      </c>
      <c r="V85" s="22"/>
      <c r="W85" s="22"/>
      <c r="X85" s="40"/>
      <c r="Y85" s="22"/>
      <c r="Z85" s="40"/>
      <c r="AA85" s="40"/>
      <c r="AB85" s="40"/>
      <c r="AC85" s="29" t="str">
        <f t="shared" si="24"/>
        <v/>
      </c>
      <c r="AD85" s="30" t="str">
        <f t="shared" si="25"/>
        <v/>
      </c>
      <c r="AE85" s="30" t="str">
        <f t="shared" si="26"/>
        <v/>
      </c>
      <c r="AF85" s="6">
        <f>+SUM(AD82:AD86)</f>
        <v>0</v>
      </c>
      <c r="AG85" s="6">
        <f>+SUM(AE81:AE86)</f>
        <v>0</v>
      </c>
    </row>
    <row r="86" spans="1:33" ht="20.25" customHeight="1" x14ac:dyDescent="0.2">
      <c r="A86" s="33">
        <f t="shared" si="27"/>
        <v>44171</v>
      </c>
      <c r="B86" s="34">
        <f t="shared" si="27"/>
        <v>49</v>
      </c>
      <c r="C86" s="63">
        <f t="shared" si="19"/>
        <v>44171</v>
      </c>
      <c r="D86" s="19">
        <v>5</v>
      </c>
      <c r="E86" s="20"/>
      <c r="F86" s="21"/>
      <c r="G86" s="22"/>
      <c r="H86" s="22"/>
      <c r="I86" s="21"/>
      <c r="J86" s="22"/>
      <c r="K86" s="22"/>
      <c r="L86" s="23">
        <f t="shared" si="20"/>
        <v>0</v>
      </c>
      <c r="M86" s="22">
        <f t="shared" si="21"/>
        <v>0</v>
      </c>
      <c r="N86" s="24">
        <v>5</v>
      </c>
      <c r="O86" s="25">
        <v>1</v>
      </c>
      <c r="P86" s="25">
        <f t="shared" si="22"/>
        <v>0</v>
      </c>
      <c r="Q86" s="26"/>
      <c r="R86" s="26"/>
      <c r="S86" s="26"/>
      <c r="T86" s="27"/>
      <c r="U86" s="28">
        <f t="shared" si="23"/>
        <v>0</v>
      </c>
      <c r="V86" s="22"/>
      <c r="W86" s="22"/>
      <c r="X86" s="40"/>
      <c r="Y86" s="22"/>
      <c r="Z86" s="40"/>
      <c r="AA86" s="40"/>
      <c r="AB86" s="40"/>
      <c r="AC86" s="29" t="str">
        <f t="shared" si="24"/>
        <v/>
      </c>
      <c r="AD86" s="30" t="str">
        <f t="shared" si="25"/>
        <v/>
      </c>
      <c r="AE86" s="30" t="str">
        <f t="shared" si="26"/>
        <v/>
      </c>
      <c r="AF86" s="7">
        <f>+COUNT(AD82:AD86)</f>
        <v>0</v>
      </c>
      <c r="AG86" s="7">
        <f>+COUNT(AE81:AE86)</f>
        <v>0</v>
      </c>
    </row>
    <row r="87" spans="1:33" ht="20.25" customHeight="1" x14ac:dyDescent="0.2">
      <c r="A87" s="17">
        <f>+A82+1</f>
        <v>44172</v>
      </c>
      <c r="B87" s="18">
        <f>WEEKNUM(A87,2)</f>
        <v>50</v>
      </c>
      <c r="C87" s="61">
        <f t="shared" si="19"/>
        <v>44172</v>
      </c>
      <c r="D87" s="19">
        <v>1</v>
      </c>
      <c r="E87" s="20"/>
      <c r="F87" s="21"/>
      <c r="G87" s="22"/>
      <c r="H87" s="22"/>
      <c r="I87" s="21"/>
      <c r="J87" s="22"/>
      <c r="K87" s="22"/>
      <c r="L87" s="23">
        <f t="shared" si="20"/>
        <v>0</v>
      </c>
      <c r="M87" s="22">
        <f t="shared" si="21"/>
        <v>0</v>
      </c>
      <c r="N87" s="24">
        <v>5</v>
      </c>
      <c r="O87" s="25">
        <v>1</v>
      </c>
      <c r="P87" s="25">
        <f t="shared" si="22"/>
        <v>0</v>
      </c>
      <c r="Q87" s="26"/>
      <c r="R87" s="26"/>
      <c r="S87" s="26"/>
      <c r="T87" s="27"/>
      <c r="U87" s="28">
        <f t="shared" si="23"/>
        <v>0</v>
      </c>
      <c r="V87" s="22">
        <f>SUM(U87:U91)</f>
        <v>0</v>
      </c>
      <c r="W87" s="74">
        <f>+Tabla1[[#This Row],[RESULTADO DEL DÍA]]+W82</f>
        <v>2217.900000000001</v>
      </c>
      <c r="X87" s="22">
        <f>+X82+Tabla1[[#This Row],[Objetivo presupuestado]]</f>
        <v>2700</v>
      </c>
      <c r="Y87" s="22" t="str">
        <f>IF(AF87=0,"0",10)</f>
        <v>0</v>
      </c>
      <c r="Z87" s="22" t="str">
        <f>IF(AF87=0,"0",50)</f>
        <v>0</v>
      </c>
      <c r="AA87" s="27">
        <f>+IFERROR(AF90/(AG90*-1),AF90)</f>
        <v>0</v>
      </c>
      <c r="AB87" s="75" t="str">
        <f>+IFERROR(AF91/AF87,"0")</f>
        <v>0</v>
      </c>
      <c r="AC87" s="29" t="str">
        <f t="shared" si="24"/>
        <v/>
      </c>
      <c r="AD87" s="30" t="str">
        <f t="shared" si="25"/>
        <v/>
      </c>
      <c r="AE87" s="30" t="str">
        <f t="shared" si="26"/>
        <v/>
      </c>
      <c r="AF87" s="9">
        <f>+COUNTIF(AC87:AC91,"1")</f>
        <v>0</v>
      </c>
    </row>
    <row r="88" spans="1:33" ht="20.25" customHeight="1" x14ac:dyDescent="0.2">
      <c r="A88" s="31">
        <f t="shared" ref="A88:B91" si="28">+A87</f>
        <v>44172</v>
      </c>
      <c r="B88" s="32">
        <f t="shared" si="28"/>
        <v>50</v>
      </c>
      <c r="C88" s="62">
        <f t="shared" si="19"/>
        <v>44172</v>
      </c>
      <c r="D88" s="19">
        <v>2</v>
      </c>
      <c r="E88" s="20"/>
      <c r="F88" s="21"/>
      <c r="G88" s="22"/>
      <c r="H88" s="22"/>
      <c r="I88" s="21"/>
      <c r="J88" s="22"/>
      <c r="K88" s="22"/>
      <c r="L88" s="23">
        <f t="shared" si="20"/>
        <v>0</v>
      </c>
      <c r="M88" s="22">
        <f t="shared" si="21"/>
        <v>0</v>
      </c>
      <c r="N88" s="24">
        <v>5</v>
      </c>
      <c r="O88" s="25">
        <v>1</v>
      </c>
      <c r="P88" s="25">
        <f t="shared" si="22"/>
        <v>0</v>
      </c>
      <c r="Q88" s="26"/>
      <c r="R88" s="26"/>
      <c r="S88" s="26"/>
      <c r="T88" s="27"/>
      <c r="U88" s="28">
        <f t="shared" si="23"/>
        <v>0</v>
      </c>
      <c r="V88" s="22"/>
      <c r="W88" s="22"/>
      <c r="X88" s="40"/>
      <c r="Y88" s="22"/>
      <c r="Z88" s="40"/>
      <c r="AA88" s="73"/>
      <c r="AB88" s="73"/>
      <c r="AC88" s="29" t="str">
        <f t="shared" si="24"/>
        <v/>
      </c>
      <c r="AD88" s="30" t="str">
        <f t="shared" si="25"/>
        <v/>
      </c>
      <c r="AE88" s="30" t="str">
        <f t="shared" si="26"/>
        <v/>
      </c>
      <c r="AF88" s="2"/>
    </row>
    <row r="89" spans="1:33" ht="20.25" customHeight="1" x14ac:dyDescent="0.2">
      <c r="A89" s="31">
        <f t="shared" si="28"/>
        <v>44172</v>
      </c>
      <c r="B89" s="32">
        <f t="shared" si="28"/>
        <v>50</v>
      </c>
      <c r="C89" s="62">
        <f t="shared" si="19"/>
        <v>44172</v>
      </c>
      <c r="D89" s="19">
        <v>3</v>
      </c>
      <c r="E89" s="20"/>
      <c r="F89" s="21"/>
      <c r="G89" s="22"/>
      <c r="H89" s="22"/>
      <c r="I89" s="21"/>
      <c r="J89" s="22"/>
      <c r="K89" s="22"/>
      <c r="L89" s="23">
        <f t="shared" si="20"/>
        <v>0</v>
      </c>
      <c r="M89" s="22">
        <f t="shared" si="21"/>
        <v>0</v>
      </c>
      <c r="N89" s="24">
        <v>5</v>
      </c>
      <c r="O89" s="25">
        <v>1</v>
      </c>
      <c r="P89" s="25">
        <f t="shared" si="22"/>
        <v>0</v>
      </c>
      <c r="Q89" s="26"/>
      <c r="R89" s="26"/>
      <c r="S89" s="26"/>
      <c r="T89" s="27"/>
      <c r="U89" s="28">
        <f t="shared" si="23"/>
        <v>0</v>
      </c>
      <c r="V89" s="22"/>
      <c r="W89" s="22"/>
      <c r="X89" s="40"/>
      <c r="Y89" s="22"/>
      <c r="Z89" s="40"/>
      <c r="AA89" s="40"/>
      <c r="AB89" s="40"/>
      <c r="AC89" s="29" t="str">
        <f t="shared" si="24"/>
        <v/>
      </c>
      <c r="AD89" s="30" t="str">
        <f t="shared" si="25"/>
        <v/>
      </c>
      <c r="AE89" s="30" t="str">
        <f t="shared" si="26"/>
        <v/>
      </c>
      <c r="AF89" s="2"/>
    </row>
    <row r="90" spans="1:33" ht="20.25" customHeight="1" x14ac:dyDescent="0.2">
      <c r="A90" s="31">
        <f t="shared" si="28"/>
        <v>44172</v>
      </c>
      <c r="B90" s="32">
        <f t="shared" si="28"/>
        <v>50</v>
      </c>
      <c r="C90" s="62">
        <f t="shared" si="19"/>
        <v>44172</v>
      </c>
      <c r="D90" s="19">
        <v>4</v>
      </c>
      <c r="E90" s="20"/>
      <c r="F90" s="21"/>
      <c r="G90" s="22"/>
      <c r="H90" s="22"/>
      <c r="I90" s="21"/>
      <c r="J90" s="22"/>
      <c r="K90" s="22"/>
      <c r="L90" s="23">
        <f t="shared" si="20"/>
        <v>0</v>
      </c>
      <c r="M90" s="22">
        <f t="shared" si="21"/>
        <v>0</v>
      </c>
      <c r="N90" s="24">
        <v>5</v>
      </c>
      <c r="O90" s="25">
        <v>1</v>
      </c>
      <c r="P90" s="25">
        <f t="shared" si="22"/>
        <v>0</v>
      </c>
      <c r="Q90" s="26"/>
      <c r="R90" s="26"/>
      <c r="S90" s="26"/>
      <c r="T90" s="27"/>
      <c r="U90" s="28">
        <f t="shared" si="23"/>
        <v>0</v>
      </c>
      <c r="V90" s="22"/>
      <c r="W90" s="22"/>
      <c r="X90" s="40"/>
      <c r="Y90" s="22"/>
      <c r="Z90" s="40"/>
      <c r="AA90" s="40"/>
      <c r="AB90" s="40"/>
      <c r="AC90" s="29" t="str">
        <f t="shared" si="24"/>
        <v/>
      </c>
      <c r="AD90" s="30" t="str">
        <f t="shared" si="25"/>
        <v/>
      </c>
      <c r="AE90" s="30" t="str">
        <f t="shared" si="26"/>
        <v/>
      </c>
      <c r="AF90" s="6">
        <f>+SUM(AD87:AD91)</f>
        <v>0</v>
      </c>
      <c r="AG90" s="6">
        <f>+SUM(AE86:AE91)</f>
        <v>0</v>
      </c>
    </row>
    <row r="91" spans="1:33" ht="20.25" customHeight="1" x14ac:dyDescent="0.2">
      <c r="A91" s="33">
        <f t="shared" si="28"/>
        <v>44172</v>
      </c>
      <c r="B91" s="34">
        <f t="shared" si="28"/>
        <v>50</v>
      </c>
      <c r="C91" s="63">
        <f t="shared" si="19"/>
        <v>44172</v>
      </c>
      <c r="D91" s="19">
        <v>5</v>
      </c>
      <c r="E91" s="20"/>
      <c r="F91" s="21"/>
      <c r="G91" s="22"/>
      <c r="H91" s="22"/>
      <c r="I91" s="21"/>
      <c r="J91" s="22"/>
      <c r="K91" s="22"/>
      <c r="L91" s="23">
        <f t="shared" si="20"/>
        <v>0</v>
      </c>
      <c r="M91" s="22">
        <f t="shared" si="21"/>
        <v>0</v>
      </c>
      <c r="N91" s="24">
        <v>5</v>
      </c>
      <c r="O91" s="25">
        <v>1</v>
      </c>
      <c r="P91" s="25">
        <f t="shared" si="22"/>
        <v>0</v>
      </c>
      <c r="Q91" s="26"/>
      <c r="R91" s="26"/>
      <c r="S91" s="26"/>
      <c r="T91" s="27"/>
      <c r="U91" s="28">
        <f t="shared" si="23"/>
        <v>0</v>
      </c>
      <c r="V91" s="22"/>
      <c r="W91" s="22"/>
      <c r="X91" s="40"/>
      <c r="Y91" s="22"/>
      <c r="Z91" s="40"/>
      <c r="AA91" s="40"/>
      <c r="AB91" s="40"/>
      <c r="AC91" s="29" t="str">
        <f t="shared" si="24"/>
        <v/>
      </c>
      <c r="AD91" s="30" t="str">
        <f t="shared" si="25"/>
        <v/>
      </c>
      <c r="AE91" s="30" t="str">
        <f t="shared" si="26"/>
        <v/>
      </c>
      <c r="AF91" s="7">
        <f>+COUNT(AD87:AD91)</f>
        <v>0</v>
      </c>
      <c r="AG91" s="7">
        <f>+COUNT(AE86:AE91)</f>
        <v>0</v>
      </c>
    </row>
    <row r="92" spans="1:33" ht="20.25" customHeight="1" x14ac:dyDescent="0.2">
      <c r="A92" s="17">
        <f>+A87+1</f>
        <v>44173</v>
      </c>
      <c r="B92" s="18">
        <f>WEEKNUM(A92,2)</f>
        <v>50</v>
      </c>
      <c r="C92" s="61">
        <f t="shared" si="19"/>
        <v>44173</v>
      </c>
      <c r="D92" s="19">
        <v>1</v>
      </c>
      <c r="E92" s="20"/>
      <c r="F92" s="21"/>
      <c r="G92" s="22"/>
      <c r="H92" s="22"/>
      <c r="I92" s="21"/>
      <c r="J92" s="22"/>
      <c r="K92" s="22"/>
      <c r="L92" s="23">
        <f t="shared" si="20"/>
        <v>0</v>
      </c>
      <c r="M92" s="22">
        <f t="shared" si="21"/>
        <v>0</v>
      </c>
      <c r="N92" s="24">
        <v>5</v>
      </c>
      <c r="O92" s="25">
        <v>1</v>
      </c>
      <c r="P92" s="25">
        <f t="shared" si="22"/>
        <v>0</v>
      </c>
      <c r="Q92" s="26"/>
      <c r="R92" s="26"/>
      <c r="S92" s="26"/>
      <c r="T92" s="27"/>
      <c r="U92" s="28">
        <f t="shared" si="23"/>
        <v>0</v>
      </c>
      <c r="V92" s="22">
        <f>SUM(U92:U96)</f>
        <v>0</v>
      </c>
      <c r="W92" s="74">
        <f>+Tabla1[[#This Row],[RESULTADO DEL DÍA]]+W87</f>
        <v>2217.900000000001</v>
      </c>
      <c r="X92" s="22">
        <f>+X87+Tabla1[[#This Row],[Objetivo presupuestado]]</f>
        <v>2700</v>
      </c>
      <c r="Y92" s="22" t="str">
        <f>IF(AF92=0,"0",10)</f>
        <v>0</v>
      </c>
      <c r="Z92" s="22" t="str">
        <f>IF(AF92=0,"0",50)</f>
        <v>0</v>
      </c>
      <c r="AA92" s="27">
        <f>+IFERROR(AF95/(AG95*-1),AF95)</f>
        <v>0</v>
      </c>
      <c r="AB92" s="75" t="str">
        <f>+IFERROR(AF96/AF92,"0")</f>
        <v>0</v>
      </c>
      <c r="AC92" s="29" t="str">
        <f t="shared" si="24"/>
        <v/>
      </c>
      <c r="AD92" s="30" t="str">
        <f t="shared" si="25"/>
        <v/>
      </c>
      <c r="AE92" s="30" t="str">
        <f t="shared" si="26"/>
        <v/>
      </c>
      <c r="AF92" s="9">
        <f>+COUNTIF(AC92:AC96,"1")</f>
        <v>0</v>
      </c>
    </row>
    <row r="93" spans="1:33" ht="20.25" customHeight="1" x14ac:dyDescent="0.2">
      <c r="A93" s="31">
        <f t="shared" ref="A93:B96" si="29">+A92</f>
        <v>44173</v>
      </c>
      <c r="B93" s="32">
        <f t="shared" si="29"/>
        <v>50</v>
      </c>
      <c r="C93" s="62">
        <f t="shared" si="19"/>
        <v>44173</v>
      </c>
      <c r="D93" s="19">
        <v>2</v>
      </c>
      <c r="E93" s="20"/>
      <c r="F93" s="21"/>
      <c r="G93" s="22"/>
      <c r="H93" s="22"/>
      <c r="I93" s="21"/>
      <c r="J93" s="22"/>
      <c r="K93" s="22"/>
      <c r="L93" s="23">
        <f t="shared" si="20"/>
        <v>0</v>
      </c>
      <c r="M93" s="22">
        <f t="shared" si="21"/>
        <v>0</v>
      </c>
      <c r="N93" s="24">
        <v>5</v>
      </c>
      <c r="O93" s="25">
        <v>1</v>
      </c>
      <c r="P93" s="25">
        <f t="shared" si="22"/>
        <v>0</v>
      </c>
      <c r="Q93" s="26"/>
      <c r="R93" s="26"/>
      <c r="S93" s="26"/>
      <c r="T93" s="27"/>
      <c r="U93" s="28">
        <f t="shared" si="23"/>
        <v>0</v>
      </c>
      <c r="V93" s="22"/>
      <c r="W93" s="22"/>
      <c r="X93" s="40"/>
      <c r="Y93" s="22"/>
      <c r="Z93" s="40"/>
      <c r="AA93" s="73"/>
      <c r="AB93" s="73"/>
      <c r="AC93" s="29" t="str">
        <f t="shared" si="24"/>
        <v/>
      </c>
      <c r="AD93" s="30" t="str">
        <f t="shared" si="25"/>
        <v/>
      </c>
      <c r="AE93" s="30" t="str">
        <f t="shared" si="26"/>
        <v/>
      </c>
      <c r="AF93" s="2"/>
    </row>
    <row r="94" spans="1:33" ht="20.25" customHeight="1" x14ac:dyDescent="0.2">
      <c r="A94" s="31">
        <f t="shared" si="29"/>
        <v>44173</v>
      </c>
      <c r="B94" s="32">
        <f t="shared" si="29"/>
        <v>50</v>
      </c>
      <c r="C94" s="62">
        <f t="shared" si="19"/>
        <v>44173</v>
      </c>
      <c r="D94" s="19">
        <v>3</v>
      </c>
      <c r="E94" s="20"/>
      <c r="F94" s="21"/>
      <c r="G94" s="22"/>
      <c r="H94" s="22"/>
      <c r="I94" s="21"/>
      <c r="J94" s="22"/>
      <c r="K94" s="22"/>
      <c r="L94" s="23">
        <f t="shared" si="20"/>
        <v>0</v>
      </c>
      <c r="M94" s="22">
        <f t="shared" si="21"/>
        <v>0</v>
      </c>
      <c r="N94" s="24">
        <v>5</v>
      </c>
      <c r="O94" s="25">
        <v>1</v>
      </c>
      <c r="P94" s="25">
        <f t="shared" si="22"/>
        <v>0</v>
      </c>
      <c r="Q94" s="26"/>
      <c r="R94" s="26"/>
      <c r="S94" s="26"/>
      <c r="T94" s="27"/>
      <c r="U94" s="28">
        <f t="shared" si="23"/>
        <v>0</v>
      </c>
      <c r="V94" s="22"/>
      <c r="W94" s="22"/>
      <c r="X94" s="40"/>
      <c r="Y94" s="22"/>
      <c r="Z94" s="40"/>
      <c r="AA94" s="40"/>
      <c r="AB94" s="40"/>
      <c r="AC94" s="29" t="str">
        <f t="shared" si="24"/>
        <v/>
      </c>
      <c r="AD94" s="30" t="str">
        <f t="shared" si="25"/>
        <v/>
      </c>
      <c r="AE94" s="30" t="str">
        <f t="shared" si="26"/>
        <v/>
      </c>
      <c r="AF94" s="2"/>
    </row>
    <row r="95" spans="1:33" ht="20.25" customHeight="1" x14ac:dyDescent="0.2">
      <c r="A95" s="31">
        <f t="shared" si="29"/>
        <v>44173</v>
      </c>
      <c r="B95" s="32">
        <f t="shared" si="29"/>
        <v>50</v>
      </c>
      <c r="C95" s="62">
        <f t="shared" si="19"/>
        <v>44173</v>
      </c>
      <c r="D95" s="19">
        <v>4</v>
      </c>
      <c r="E95" s="20"/>
      <c r="F95" s="21"/>
      <c r="G95" s="22"/>
      <c r="H95" s="22"/>
      <c r="I95" s="21"/>
      <c r="J95" s="22"/>
      <c r="K95" s="22"/>
      <c r="L95" s="23">
        <f t="shared" si="20"/>
        <v>0</v>
      </c>
      <c r="M95" s="22">
        <f t="shared" si="21"/>
        <v>0</v>
      </c>
      <c r="N95" s="24">
        <v>5</v>
      </c>
      <c r="O95" s="25">
        <v>1</v>
      </c>
      <c r="P95" s="25">
        <f t="shared" si="22"/>
        <v>0</v>
      </c>
      <c r="Q95" s="26"/>
      <c r="R95" s="26"/>
      <c r="S95" s="26"/>
      <c r="T95" s="27"/>
      <c r="U95" s="28">
        <f t="shared" si="23"/>
        <v>0</v>
      </c>
      <c r="V95" s="22"/>
      <c r="W95" s="22"/>
      <c r="X95" s="40"/>
      <c r="Y95" s="22"/>
      <c r="Z95" s="40"/>
      <c r="AA95" s="40"/>
      <c r="AB95" s="40"/>
      <c r="AC95" s="29" t="str">
        <f t="shared" si="24"/>
        <v/>
      </c>
      <c r="AD95" s="30" t="str">
        <f t="shared" si="25"/>
        <v/>
      </c>
      <c r="AE95" s="30" t="str">
        <f t="shared" si="26"/>
        <v/>
      </c>
      <c r="AF95" s="6">
        <f>+SUM(AD92:AD96)</f>
        <v>0</v>
      </c>
      <c r="AG95" s="6">
        <f>+SUM(AE91:AE96)</f>
        <v>0</v>
      </c>
    </row>
    <row r="96" spans="1:33" ht="20.25" customHeight="1" x14ac:dyDescent="0.2">
      <c r="A96" s="33">
        <f t="shared" si="29"/>
        <v>44173</v>
      </c>
      <c r="B96" s="34">
        <f t="shared" si="29"/>
        <v>50</v>
      </c>
      <c r="C96" s="63">
        <f t="shared" si="19"/>
        <v>44173</v>
      </c>
      <c r="D96" s="19">
        <v>5</v>
      </c>
      <c r="E96" s="20"/>
      <c r="F96" s="21"/>
      <c r="G96" s="22"/>
      <c r="H96" s="22"/>
      <c r="I96" s="21"/>
      <c r="J96" s="22"/>
      <c r="K96" s="22"/>
      <c r="L96" s="23">
        <f t="shared" si="20"/>
        <v>0</v>
      </c>
      <c r="M96" s="22">
        <f t="shared" si="21"/>
        <v>0</v>
      </c>
      <c r="N96" s="24">
        <v>5</v>
      </c>
      <c r="O96" s="25">
        <v>1</v>
      </c>
      <c r="P96" s="25">
        <f t="shared" si="22"/>
        <v>0</v>
      </c>
      <c r="Q96" s="26"/>
      <c r="R96" s="26"/>
      <c r="S96" s="26"/>
      <c r="T96" s="27"/>
      <c r="U96" s="28">
        <f t="shared" si="23"/>
        <v>0</v>
      </c>
      <c r="V96" s="22"/>
      <c r="W96" s="22"/>
      <c r="X96" s="40"/>
      <c r="Y96" s="22"/>
      <c r="Z96" s="40"/>
      <c r="AA96" s="40"/>
      <c r="AB96" s="40"/>
      <c r="AC96" s="29" t="str">
        <f t="shared" si="24"/>
        <v/>
      </c>
      <c r="AD96" s="30" t="str">
        <f t="shared" si="25"/>
        <v/>
      </c>
      <c r="AE96" s="30" t="str">
        <f t="shared" si="26"/>
        <v/>
      </c>
      <c r="AF96" s="7">
        <f>+COUNT(AD92:AD96)</f>
        <v>0</v>
      </c>
      <c r="AG96" s="7">
        <f>+COUNT(AE91:AE96)</f>
        <v>0</v>
      </c>
    </row>
    <row r="97" spans="1:34" ht="20.25" customHeight="1" x14ac:dyDescent="0.2">
      <c r="A97" s="17">
        <f>+A92+1</f>
        <v>44174</v>
      </c>
      <c r="B97" s="18">
        <f>WEEKNUM(A97,2)</f>
        <v>50</v>
      </c>
      <c r="C97" s="61">
        <f t="shared" si="19"/>
        <v>44174</v>
      </c>
      <c r="D97" s="19">
        <v>1</v>
      </c>
      <c r="E97" s="20" t="s">
        <v>26</v>
      </c>
      <c r="F97" s="21">
        <v>44174.40960648148</v>
      </c>
      <c r="G97" s="22">
        <v>1932.2</v>
      </c>
      <c r="H97" s="22"/>
      <c r="I97" s="21">
        <v>44174.418090277781</v>
      </c>
      <c r="J97" s="22">
        <v>1929.6</v>
      </c>
      <c r="K97" s="22"/>
      <c r="L97" s="23">
        <f t="shared" si="20"/>
        <v>8.4837963004247285E-3</v>
      </c>
      <c r="M97" s="22">
        <f t="shared" si="21"/>
        <v>2.6000000000001364</v>
      </c>
      <c r="N97" s="24">
        <v>5</v>
      </c>
      <c r="O97" s="25">
        <v>1</v>
      </c>
      <c r="P97" s="25">
        <f t="shared" ref="P97:P104" si="30">+IF(J97&gt;0,O97*0.8,0)</f>
        <v>0.8</v>
      </c>
      <c r="Q97" s="26"/>
      <c r="R97" s="26"/>
      <c r="S97" s="26"/>
      <c r="T97" s="27"/>
      <c r="U97" s="83">
        <f t="shared" si="23"/>
        <v>12.200000000000681</v>
      </c>
      <c r="V97" s="22">
        <f>SUM(U97:U101)</f>
        <v>14.000000000001819</v>
      </c>
      <c r="W97" s="74">
        <f>+Tabla1[[#This Row],[RESULTADO DEL DÍA]]+W92</f>
        <v>2231.9000000000028</v>
      </c>
      <c r="X97" s="22">
        <f>+X92+Tabla1[[#This Row],[Objetivo presupuestado]]</f>
        <v>2750</v>
      </c>
      <c r="Y97" s="22">
        <f>IF(AF97=0,"0",10)</f>
        <v>10</v>
      </c>
      <c r="Z97" s="22">
        <f>IF(AF97=0,"0",50)</f>
        <v>50</v>
      </c>
      <c r="AA97" s="27">
        <f>+IFERROR(AF100/(AG100*-1),AF100)</f>
        <v>1.5806451612903982</v>
      </c>
      <c r="AB97" s="75">
        <f>+IFERROR(AF101/AF97,"0")</f>
        <v>0.4</v>
      </c>
      <c r="AC97" s="29">
        <f t="shared" si="24"/>
        <v>1</v>
      </c>
      <c r="AD97" s="30">
        <f t="shared" si="25"/>
        <v>2.6000000000001364</v>
      </c>
      <c r="AE97" s="30" t="str">
        <f t="shared" si="26"/>
        <v/>
      </c>
      <c r="AF97" s="9">
        <f>+COUNTIF(AC97:AC101,"1")</f>
        <v>5</v>
      </c>
    </row>
    <row r="98" spans="1:34" ht="20.25" customHeight="1" x14ac:dyDescent="0.2">
      <c r="A98" s="31">
        <f t="shared" ref="A98:B101" si="31">+A97</f>
        <v>44174</v>
      </c>
      <c r="B98" s="32">
        <f t="shared" si="31"/>
        <v>50</v>
      </c>
      <c r="C98" s="62">
        <f t="shared" si="19"/>
        <v>44174</v>
      </c>
      <c r="D98" s="19">
        <v>2</v>
      </c>
      <c r="E98" s="20" t="s">
        <v>25</v>
      </c>
      <c r="F98" s="21">
        <v>44174.4687962963</v>
      </c>
      <c r="G98" s="22">
        <v>1925</v>
      </c>
      <c r="H98" s="22"/>
      <c r="I98" s="21">
        <v>44174.481990740744</v>
      </c>
      <c r="J98" s="22">
        <v>1921.9</v>
      </c>
      <c r="K98" s="22"/>
      <c r="L98" s="23">
        <f t="shared" si="20"/>
        <v>1.3194444443797693E-2</v>
      </c>
      <c r="M98" s="22">
        <f t="shared" si="21"/>
        <v>-3.0999999999999091</v>
      </c>
      <c r="N98" s="24">
        <v>5</v>
      </c>
      <c r="O98" s="25">
        <v>1</v>
      </c>
      <c r="P98" s="25">
        <f t="shared" si="30"/>
        <v>0.8</v>
      </c>
      <c r="Q98" s="26"/>
      <c r="R98" s="26"/>
      <c r="S98" s="26"/>
      <c r="T98" s="27"/>
      <c r="U98" s="83">
        <f t="shared" si="23"/>
        <v>-16.299999999999546</v>
      </c>
      <c r="V98" s="22"/>
      <c r="W98" s="22"/>
      <c r="X98" s="40"/>
      <c r="Y98" s="22"/>
      <c r="Z98" s="40"/>
      <c r="AA98" s="73"/>
      <c r="AB98" s="73"/>
      <c r="AC98" s="29">
        <f t="shared" si="24"/>
        <v>1</v>
      </c>
      <c r="AD98" s="30" t="str">
        <f t="shared" si="25"/>
        <v/>
      </c>
      <c r="AE98" s="30">
        <f t="shared" si="26"/>
        <v>-3.0999999999999091</v>
      </c>
      <c r="AF98" s="2"/>
    </row>
    <row r="99" spans="1:34" ht="20.25" customHeight="1" x14ac:dyDescent="0.2">
      <c r="A99" s="31">
        <f t="shared" si="31"/>
        <v>44174</v>
      </c>
      <c r="B99" s="32">
        <f t="shared" si="31"/>
        <v>50</v>
      </c>
      <c r="C99" s="62">
        <f t="shared" si="19"/>
        <v>44174</v>
      </c>
      <c r="D99" s="19">
        <v>3</v>
      </c>
      <c r="E99" s="20" t="s">
        <v>26</v>
      </c>
      <c r="F99" s="21">
        <v>44174.492349537039</v>
      </c>
      <c r="G99" s="22">
        <v>1920.9</v>
      </c>
      <c r="H99" s="22"/>
      <c r="I99" s="21">
        <v>44174.496793981481</v>
      </c>
      <c r="J99" s="22">
        <v>1924</v>
      </c>
      <c r="K99" s="22"/>
      <c r="L99" s="23">
        <f t="shared" si="20"/>
        <v>4.4444444429245777E-3</v>
      </c>
      <c r="M99" s="22">
        <f t="shared" si="21"/>
        <v>-3.0999999999999091</v>
      </c>
      <c r="N99" s="24">
        <v>5</v>
      </c>
      <c r="O99" s="25">
        <v>1</v>
      </c>
      <c r="P99" s="25">
        <f t="shared" si="30"/>
        <v>0.8</v>
      </c>
      <c r="Q99" s="26"/>
      <c r="R99" s="26"/>
      <c r="S99" s="26"/>
      <c r="T99" s="27"/>
      <c r="U99" s="83">
        <f t="shared" si="23"/>
        <v>-16.299999999999546</v>
      </c>
      <c r="V99" s="22"/>
      <c r="W99" s="22"/>
      <c r="X99" s="40"/>
      <c r="Y99" s="22"/>
      <c r="Z99" s="40"/>
      <c r="AA99" s="40"/>
      <c r="AB99" s="40"/>
      <c r="AC99" s="29">
        <f t="shared" si="24"/>
        <v>1</v>
      </c>
      <c r="AD99" s="30" t="str">
        <f t="shared" si="25"/>
        <v/>
      </c>
      <c r="AE99" s="30">
        <f t="shared" si="26"/>
        <v>-3.0999999999999091</v>
      </c>
      <c r="AF99" s="2"/>
    </row>
    <row r="100" spans="1:34" ht="20.25" customHeight="1" x14ac:dyDescent="0.2">
      <c r="A100" s="31">
        <f t="shared" si="31"/>
        <v>44174</v>
      </c>
      <c r="B100" s="32">
        <f t="shared" si="31"/>
        <v>50</v>
      </c>
      <c r="C100" s="62">
        <f t="shared" si="19"/>
        <v>44174</v>
      </c>
      <c r="D100" s="19">
        <v>4</v>
      </c>
      <c r="E100" s="20" t="s">
        <v>25</v>
      </c>
      <c r="F100" s="21">
        <v>44174.496921296297</v>
      </c>
      <c r="G100" s="22">
        <v>1923.9</v>
      </c>
      <c r="H100" s="22"/>
      <c r="I100" s="21">
        <v>44174.512071759258</v>
      </c>
      <c r="J100" s="22">
        <v>1923.9</v>
      </c>
      <c r="K100" s="22"/>
      <c r="L100" s="23">
        <f t="shared" si="20"/>
        <v>1.5150462961173616E-2</v>
      </c>
      <c r="M100" s="22">
        <f t="shared" si="21"/>
        <v>0</v>
      </c>
      <c r="N100" s="24">
        <v>5</v>
      </c>
      <c r="O100" s="25">
        <v>1</v>
      </c>
      <c r="P100" s="25">
        <f t="shared" si="30"/>
        <v>0.8</v>
      </c>
      <c r="Q100" s="26"/>
      <c r="R100" s="26"/>
      <c r="S100" s="26"/>
      <c r="T100" s="27"/>
      <c r="U100" s="83">
        <f t="shared" si="23"/>
        <v>-0.8</v>
      </c>
      <c r="V100" s="22"/>
      <c r="W100" s="22"/>
      <c r="X100" s="40"/>
      <c r="Y100" s="22"/>
      <c r="Z100" s="40"/>
      <c r="AA100" s="40"/>
      <c r="AB100" s="40"/>
      <c r="AC100" s="29">
        <f t="shared" si="24"/>
        <v>1</v>
      </c>
      <c r="AD100" s="30" t="str">
        <f t="shared" si="25"/>
        <v/>
      </c>
      <c r="AE100" s="30" t="str">
        <f t="shared" si="26"/>
        <v/>
      </c>
      <c r="AF100" s="6">
        <f>+SUM(AD97:AD101)</f>
        <v>9.8000000000001819</v>
      </c>
      <c r="AG100" s="6">
        <f>+SUM(AE96:AE101)</f>
        <v>-6.1999999999998181</v>
      </c>
    </row>
    <row r="101" spans="1:34" ht="20.25" customHeight="1" x14ac:dyDescent="0.2">
      <c r="A101" s="33">
        <f t="shared" si="31"/>
        <v>44174</v>
      </c>
      <c r="B101" s="34">
        <f t="shared" si="31"/>
        <v>50</v>
      </c>
      <c r="C101" s="63">
        <f t="shared" si="19"/>
        <v>44174</v>
      </c>
      <c r="D101" s="19">
        <v>5</v>
      </c>
      <c r="E101" s="20" t="s">
        <v>26</v>
      </c>
      <c r="F101" s="21">
        <v>44174.52553240741</v>
      </c>
      <c r="G101" s="22">
        <v>1919.8</v>
      </c>
      <c r="H101" s="22"/>
      <c r="I101" s="21">
        <v>44174.534247685187</v>
      </c>
      <c r="J101" s="22">
        <v>1912.6</v>
      </c>
      <c r="K101" s="22"/>
      <c r="L101" s="23">
        <f t="shared" si="20"/>
        <v>8.7152777778101154E-3</v>
      </c>
      <c r="M101" s="22">
        <f t="shared" si="21"/>
        <v>7.2000000000000455</v>
      </c>
      <c r="N101" s="24">
        <v>5</v>
      </c>
      <c r="O101" s="25">
        <v>1</v>
      </c>
      <c r="P101" s="25">
        <f t="shared" si="30"/>
        <v>0.8</v>
      </c>
      <c r="Q101" s="26"/>
      <c r="R101" s="26"/>
      <c r="S101" s="26"/>
      <c r="T101" s="27"/>
      <c r="U101" s="83">
        <f t="shared" si="23"/>
        <v>35.20000000000023</v>
      </c>
      <c r="V101" s="22"/>
      <c r="W101" s="22"/>
      <c r="X101" s="40"/>
      <c r="Y101" s="22"/>
      <c r="Z101" s="40"/>
      <c r="AA101" s="40"/>
      <c r="AB101" s="40"/>
      <c r="AC101" s="29">
        <f t="shared" si="24"/>
        <v>1</v>
      </c>
      <c r="AD101" s="30">
        <f t="shared" si="25"/>
        <v>7.2000000000000455</v>
      </c>
      <c r="AE101" s="30" t="str">
        <f t="shared" si="26"/>
        <v/>
      </c>
      <c r="AF101" s="7">
        <f>+COUNT(AD97:AD101)</f>
        <v>2</v>
      </c>
      <c r="AG101" s="7">
        <f>+COUNT(AE96:AE101)</f>
        <v>2</v>
      </c>
    </row>
    <row r="102" spans="1:34" ht="20.25" customHeight="1" x14ac:dyDescent="0.2">
      <c r="A102" s="17">
        <f>+A97+1</f>
        <v>44175</v>
      </c>
      <c r="B102" s="18">
        <f>WEEKNUM(A102,2)</f>
        <v>50</v>
      </c>
      <c r="C102" s="61">
        <f t="shared" si="19"/>
        <v>44175</v>
      </c>
      <c r="D102" s="19">
        <v>1</v>
      </c>
      <c r="E102" s="20" t="s">
        <v>25</v>
      </c>
      <c r="F102" s="21">
        <v>44175.404236111113</v>
      </c>
      <c r="G102" s="22">
        <v>1894.8</v>
      </c>
      <c r="H102" s="22"/>
      <c r="I102" s="21">
        <v>44175.416354166664</v>
      </c>
      <c r="J102" s="22">
        <v>1901.7</v>
      </c>
      <c r="K102" s="22"/>
      <c r="L102" s="23">
        <f t="shared" si="20"/>
        <v>1.211805555067258E-2</v>
      </c>
      <c r="M102" s="22">
        <f t="shared" si="21"/>
        <v>6.9000000000000909</v>
      </c>
      <c r="N102" s="24">
        <v>5</v>
      </c>
      <c r="O102" s="25">
        <v>1</v>
      </c>
      <c r="P102" s="25">
        <f t="shared" si="30"/>
        <v>0.8</v>
      </c>
      <c r="Q102" s="26"/>
      <c r="R102" s="26"/>
      <c r="S102" s="26"/>
      <c r="T102" s="27"/>
      <c r="U102" s="83">
        <f t="shared" si="23"/>
        <v>33.700000000000458</v>
      </c>
      <c r="V102" s="22">
        <f>SUM(U102:U106)</f>
        <v>26.100000000000229</v>
      </c>
      <c r="W102" s="74">
        <f>+Tabla1[[#This Row],[RESULTADO DEL DÍA]]+W97</f>
        <v>2258.0000000000032</v>
      </c>
      <c r="X102" s="22">
        <f>+X97+Tabla1[[#This Row],[Objetivo presupuestado]]</f>
        <v>2800</v>
      </c>
      <c r="Y102" s="22">
        <f>IF(AF102=0,"0",10)</f>
        <v>10</v>
      </c>
      <c r="Z102" s="22">
        <f>IF(AF102=0,"0",50)</f>
        <v>50</v>
      </c>
      <c r="AA102" s="27">
        <f>+IFERROR(AF105/(AG105*-1),AF105)</f>
        <v>2.5405405405405337</v>
      </c>
      <c r="AB102" s="75">
        <f>+IFERROR(AF106/AF102,"0")</f>
        <v>0.66666666666666663</v>
      </c>
      <c r="AC102" s="29">
        <f t="shared" si="24"/>
        <v>1</v>
      </c>
      <c r="AD102" s="30">
        <f t="shared" si="25"/>
        <v>6.9000000000000909</v>
      </c>
      <c r="AE102" s="30" t="str">
        <f t="shared" si="26"/>
        <v/>
      </c>
      <c r="AF102" s="9">
        <f>+COUNTIF(AC102:AC106,"1")</f>
        <v>3</v>
      </c>
    </row>
    <row r="103" spans="1:34" ht="20.25" customHeight="1" x14ac:dyDescent="0.2">
      <c r="A103" s="31">
        <f t="shared" ref="A103:B106" si="32">+A102</f>
        <v>44175</v>
      </c>
      <c r="B103" s="32">
        <f t="shared" si="32"/>
        <v>50</v>
      </c>
      <c r="C103" s="62">
        <f t="shared" si="19"/>
        <v>44175</v>
      </c>
      <c r="D103" s="19">
        <v>2</v>
      </c>
      <c r="E103" s="20" t="s">
        <v>25</v>
      </c>
      <c r="F103" s="21">
        <v>44175.474618055552</v>
      </c>
      <c r="G103" s="22">
        <v>1909.8</v>
      </c>
      <c r="H103" s="22"/>
      <c r="I103" s="21">
        <v>44175.48201388889</v>
      </c>
      <c r="J103" s="22">
        <v>1906.1</v>
      </c>
      <c r="K103" s="22"/>
      <c r="L103" s="23">
        <f t="shared" si="20"/>
        <v>7.3958333377959207E-3</v>
      </c>
      <c r="M103" s="22">
        <f t="shared" si="21"/>
        <v>-3.7000000000000455</v>
      </c>
      <c r="N103" s="24">
        <v>5</v>
      </c>
      <c r="O103" s="25">
        <v>1</v>
      </c>
      <c r="P103" s="25">
        <f t="shared" si="30"/>
        <v>0.8</v>
      </c>
      <c r="Q103" s="26"/>
      <c r="R103" s="26"/>
      <c r="S103" s="26"/>
      <c r="T103" s="27"/>
      <c r="U103" s="83">
        <f t="shared" si="23"/>
        <v>-19.300000000000228</v>
      </c>
      <c r="V103" s="22"/>
      <c r="W103" s="22"/>
      <c r="X103" s="40"/>
      <c r="Y103" s="22"/>
      <c r="Z103" s="40"/>
      <c r="AA103" s="73"/>
      <c r="AB103" s="73"/>
      <c r="AC103" s="29">
        <f t="shared" si="24"/>
        <v>1</v>
      </c>
      <c r="AD103" s="30" t="str">
        <f t="shared" si="25"/>
        <v/>
      </c>
      <c r="AE103" s="30">
        <f t="shared" si="26"/>
        <v>-3.7000000000000455</v>
      </c>
      <c r="AF103" s="2"/>
    </row>
    <row r="104" spans="1:34" ht="20.25" customHeight="1" x14ac:dyDescent="0.2">
      <c r="A104" s="31">
        <f t="shared" si="32"/>
        <v>44175</v>
      </c>
      <c r="B104" s="32">
        <f t="shared" si="32"/>
        <v>50</v>
      </c>
      <c r="C104" s="62">
        <f t="shared" si="19"/>
        <v>44175</v>
      </c>
      <c r="D104" s="19">
        <v>3</v>
      </c>
      <c r="E104" s="20" t="s">
        <v>25</v>
      </c>
      <c r="F104" s="21">
        <v>44175.51048611111</v>
      </c>
      <c r="G104" s="22">
        <v>1909.4</v>
      </c>
      <c r="H104" s="22"/>
      <c r="I104" s="21">
        <v>44175.534212962964</v>
      </c>
      <c r="J104" s="22">
        <v>1911.9</v>
      </c>
      <c r="K104" s="22"/>
      <c r="L104" s="23">
        <f t="shared" si="20"/>
        <v>2.3726851854007691E-2</v>
      </c>
      <c r="M104" s="22">
        <f t="shared" si="21"/>
        <v>2.5</v>
      </c>
      <c r="N104" s="24">
        <v>5</v>
      </c>
      <c r="O104" s="25">
        <v>1</v>
      </c>
      <c r="P104" s="25">
        <f t="shared" si="30"/>
        <v>0.8</v>
      </c>
      <c r="Q104" s="26"/>
      <c r="R104" s="26"/>
      <c r="S104" s="26"/>
      <c r="T104" s="27"/>
      <c r="U104" s="83">
        <f t="shared" si="23"/>
        <v>11.7</v>
      </c>
      <c r="V104" s="22"/>
      <c r="W104" s="22"/>
      <c r="X104" s="40"/>
      <c r="Y104" s="22"/>
      <c r="Z104" s="40"/>
      <c r="AA104" s="40"/>
      <c r="AB104" s="40"/>
      <c r="AC104" s="29">
        <f t="shared" si="24"/>
        <v>1</v>
      </c>
      <c r="AD104" s="30">
        <f t="shared" si="25"/>
        <v>2.5</v>
      </c>
      <c r="AE104" s="30" t="str">
        <f t="shared" si="26"/>
        <v/>
      </c>
      <c r="AF104" s="2"/>
    </row>
    <row r="105" spans="1:34" ht="20.25" customHeight="1" x14ac:dyDescent="0.2">
      <c r="A105" s="31">
        <f t="shared" si="32"/>
        <v>44175</v>
      </c>
      <c r="B105" s="32">
        <f t="shared" si="32"/>
        <v>50</v>
      </c>
      <c r="C105" s="62">
        <f t="shared" si="19"/>
        <v>44175</v>
      </c>
      <c r="D105" s="19">
        <v>4</v>
      </c>
      <c r="E105" s="20"/>
      <c r="F105" s="21"/>
      <c r="G105" s="22"/>
      <c r="H105" s="22"/>
      <c r="I105" s="21"/>
      <c r="J105" s="22"/>
      <c r="K105" s="22"/>
      <c r="L105" s="23">
        <f t="shared" si="20"/>
        <v>0</v>
      </c>
      <c r="M105" s="22">
        <f t="shared" si="21"/>
        <v>0</v>
      </c>
      <c r="N105" s="24">
        <v>5</v>
      </c>
      <c r="O105" s="25">
        <v>1</v>
      </c>
      <c r="P105" s="25">
        <f t="shared" si="22"/>
        <v>0</v>
      </c>
      <c r="Q105" s="26"/>
      <c r="R105" s="26"/>
      <c r="S105" s="26"/>
      <c r="T105" s="27"/>
      <c r="U105" s="28">
        <f t="shared" si="23"/>
        <v>0</v>
      </c>
      <c r="V105" s="22"/>
      <c r="W105" s="22"/>
      <c r="X105" s="40"/>
      <c r="Y105" s="22"/>
      <c r="Z105" s="40"/>
      <c r="AA105" s="40"/>
      <c r="AB105" s="40"/>
      <c r="AC105" s="29" t="str">
        <f t="shared" si="24"/>
        <v/>
      </c>
      <c r="AD105" s="30" t="str">
        <f t="shared" si="25"/>
        <v/>
      </c>
      <c r="AE105" s="30" t="str">
        <f t="shared" si="26"/>
        <v/>
      </c>
      <c r="AF105" s="6">
        <f>+SUM(AD102:AD106)</f>
        <v>9.4000000000000909</v>
      </c>
      <c r="AG105" s="6">
        <f>+SUM(AE101:AE106)</f>
        <v>-3.7000000000000455</v>
      </c>
    </row>
    <row r="106" spans="1:34" ht="20.25" customHeight="1" x14ac:dyDescent="0.2">
      <c r="A106" s="33">
        <f t="shared" si="32"/>
        <v>44175</v>
      </c>
      <c r="B106" s="34">
        <f t="shared" si="32"/>
        <v>50</v>
      </c>
      <c r="C106" s="63">
        <f t="shared" si="19"/>
        <v>44175</v>
      </c>
      <c r="D106" s="19">
        <v>5</v>
      </c>
      <c r="E106" s="20"/>
      <c r="F106" s="21"/>
      <c r="G106" s="22"/>
      <c r="H106" s="22"/>
      <c r="I106" s="21"/>
      <c r="J106" s="22"/>
      <c r="K106" s="22"/>
      <c r="L106" s="23">
        <f t="shared" si="20"/>
        <v>0</v>
      </c>
      <c r="M106" s="22">
        <f t="shared" si="21"/>
        <v>0</v>
      </c>
      <c r="N106" s="24">
        <v>5</v>
      </c>
      <c r="O106" s="25">
        <v>1</v>
      </c>
      <c r="P106" s="25">
        <f t="shared" si="22"/>
        <v>0</v>
      </c>
      <c r="Q106" s="26"/>
      <c r="R106" s="26"/>
      <c r="S106" s="26"/>
      <c r="T106" s="27"/>
      <c r="U106" s="28">
        <f t="shared" si="23"/>
        <v>0</v>
      </c>
      <c r="V106" s="22"/>
      <c r="W106" s="22"/>
      <c r="X106" s="40"/>
      <c r="Y106" s="22"/>
      <c r="Z106" s="40"/>
      <c r="AA106" s="40"/>
      <c r="AB106" s="40"/>
      <c r="AC106" s="29" t="str">
        <f t="shared" si="24"/>
        <v/>
      </c>
      <c r="AD106" s="30" t="str">
        <f t="shared" si="25"/>
        <v/>
      </c>
      <c r="AE106" s="30" t="str">
        <f t="shared" si="26"/>
        <v/>
      </c>
      <c r="AF106" s="7">
        <f>+COUNT(AD102:AD106)</f>
        <v>2</v>
      </c>
      <c r="AG106" s="7">
        <f>+COUNT(AE101:AE106)</f>
        <v>1</v>
      </c>
    </row>
    <row r="107" spans="1:34" ht="20.25" customHeight="1" x14ac:dyDescent="0.2">
      <c r="A107" s="17">
        <f>+A102+1</f>
        <v>44176</v>
      </c>
      <c r="B107" s="18">
        <f>WEEKNUM(A107,2)</f>
        <v>50</v>
      </c>
      <c r="C107" s="61">
        <f t="shared" si="19"/>
        <v>44176</v>
      </c>
      <c r="D107" s="19">
        <v>1</v>
      </c>
      <c r="E107" s="20" t="s">
        <v>25</v>
      </c>
      <c r="F107" s="21">
        <v>44176.413240740738</v>
      </c>
      <c r="G107" s="22">
        <v>1916.5</v>
      </c>
      <c r="H107" s="22"/>
      <c r="I107" s="21">
        <v>44176.418692129628</v>
      </c>
      <c r="J107" s="22">
        <v>1917.4</v>
      </c>
      <c r="K107" s="22"/>
      <c r="L107" s="23">
        <f t="shared" si="20"/>
        <v>5.4513888899236917E-3</v>
      </c>
      <c r="M107" s="22">
        <f t="shared" si="21"/>
        <v>0.90000000000009095</v>
      </c>
      <c r="N107" s="24">
        <v>5</v>
      </c>
      <c r="O107" s="25">
        <v>1</v>
      </c>
      <c r="P107" s="25">
        <f>+IF(J107&gt;0,O107*0.8,0)</f>
        <v>0.8</v>
      </c>
      <c r="Q107" s="26"/>
      <c r="R107" s="26"/>
      <c r="S107" s="26"/>
      <c r="T107" s="27"/>
      <c r="U107" s="83">
        <f t="shared" si="23"/>
        <v>3.7000000000004549</v>
      </c>
      <c r="V107" s="22">
        <f>SUM(U107:U111)</f>
        <v>-14.500000000000684</v>
      </c>
      <c r="W107" s="74">
        <f>+Tabla1[[#This Row],[RESULTADO DEL DÍA]]+W102</f>
        <v>2243.5000000000023</v>
      </c>
      <c r="X107" s="22">
        <f>+X102+Tabla1[[#This Row],[Objetivo presupuestado]]</f>
        <v>2850</v>
      </c>
      <c r="Y107" s="22">
        <f>IF(AF107=0,"0",10)</f>
        <v>10</v>
      </c>
      <c r="Z107" s="22">
        <f>IF(AF107=0,"0",50)</f>
        <v>50</v>
      </c>
      <c r="AA107" s="27">
        <f>+IFERROR(AF110/(AG110*-1),AF110)</f>
        <v>0.66129032258062559</v>
      </c>
      <c r="AB107" s="75">
        <f>+IFERROR(AF111/AF107,"0")</f>
        <v>0.6</v>
      </c>
      <c r="AC107" s="29">
        <f t="shared" si="24"/>
        <v>1</v>
      </c>
      <c r="AD107" s="30">
        <f t="shared" si="25"/>
        <v>0.90000000000009095</v>
      </c>
      <c r="AE107" s="30" t="str">
        <f t="shared" si="26"/>
        <v/>
      </c>
      <c r="AF107" s="9">
        <f>+COUNTIF(AC107:AC111,"1")</f>
        <v>5</v>
      </c>
      <c r="AH107" s="6"/>
    </row>
    <row r="108" spans="1:34" ht="20.25" customHeight="1" x14ac:dyDescent="0.2">
      <c r="A108" s="31">
        <f t="shared" ref="A108:B111" si="33">+A107</f>
        <v>44176</v>
      </c>
      <c r="B108" s="32">
        <f t="shared" si="33"/>
        <v>50</v>
      </c>
      <c r="C108" s="62">
        <f t="shared" si="19"/>
        <v>44176</v>
      </c>
      <c r="D108" s="19">
        <v>2</v>
      </c>
      <c r="E108" s="20" t="s">
        <v>25</v>
      </c>
      <c r="F108" s="21">
        <v>44176.488819444443</v>
      </c>
      <c r="G108" s="22">
        <v>1899.4</v>
      </c>
      <c r="H108" s="22"/>
      <c r="I108" s="21">
        <v>44176.489004629628</v>
      </c>
      <c r="J108" s="22">
        <v>1899.6</v>
      </c>
      <c r="K108" s="22"/>
      <c r="L108" s="23">
        <f t="shared" si="20"/>
        <v>1.8518518481869251E-4</v>
      </c>
      <c r="M108" s="22">
        <f t="shared" si="21"/>
        <v>0.1999999999998181</v>
      </c>
      <c r="N108" s="24">
        <v>5</v>
      </c>
      <c r="O108" s="25">
        <v>1</v>
      </c>
      <c r="P108" s="25">
        <f>+IF(J108&gt;0,O108*0.8,0)</f>
        <v>0.8</v>
      </c>
      <c r="Q108" s="26"/>
      <c r="R108" s="26"/>
      <c r="S108" s="26"/>
      <c r="T108" s="27"/>
      <c r="U108" s="83">
        <f t="shared" si="23"/>
        <v>0.19999999999909046</v>
      </c>
      <c r="V108" s="22"/>
      <c r="W108" s="22"/>
      <c r="X108" s="40"/>
      <c r="Y108" s="22"/>
      <c r="Z108" s="40"/>
      <c r="AA108" s="73"/>
      <c r="AB108" s="73"/>
      <c r="AC108" s="29">
        <f t="shared" si="24"/>
        <v>1</v>
      </c>
      <c r="AD108" s="30">
        <f t="shared" si="25"/>
        <v>0.1999999999998181</v>
      </c>
      <c r="AE108" s="30" t="str">
        <f t="shared" si="26"/>
        <v/>
      </c>
      <c r="AF108" s="2"/>
      <c r="AH108" s="7"/>
    </row>
    <row r="109" spans="1:34" ht="20.25" customHeight="1" x14ac:dyDescent="0.2">
      <c r="A109" s="31">
        <f t="shared" si="33"/>
        <v>44176</v>
      </c>
      <c r="B109" s="32">
        <f t="shared" si="33"/>
        <v>50</v>
      </c>
      <c r="C109" s="62">
        <f t="shared" si="19"/>
        <v>44176</v>
      </c>
      <c r="D109" s="19">
        <v>3</v>
      </c>
      <c r="E109" s="20" t="s">
        <v>26</v>
      </c>
      <c r="F109" s="21">
        <v>44176.489652777775</v>
      </c>
      <c r="G109" s="22">
        <v>1898.8</v>
      </c>
      <c r="H109" s="22"/>
      <c r="I109" s="21">
        <v>44176.490972222222</v>
      </c>
      <c r="J109" s="22">
        <v>1902</v>
      </c>
      <c r="K109" s="22"/>
      <c r="L109" s="23">
        <f t="shared" si="20"/>
        <v>1.3194444472901523E-3</v>
      </c>
      <c r="M109" s="22">
        <f t="shared" si="21"/>
        <v>-3.2000000000000455</v>
      </c>
      <c r="N109" s="24">
        <v>5</v>
      </c>
      <c r="O109" s="25">
        <v>1</v>
      </c>
      <c r="P109" s="25">
        <f>+IF(J109&gt;0,O109*0.8,0)</f>
        <v>0.8</v>
      </c>
      <c r="Q109" s="26"/>
      <c r="R109" s="26"/>
      <c r="S109" s="26"/>
      <c r="T109" s="27"/>
      <c r="U109" s="83">
        <f t="shared" si="23"/>
        <v>-16.800000000000228</v>
      </c>
      <c r="V109" s="22"/>
      <c r="W109" s="22"/>
      <c r="X109" s="40"/>
      <c r="Y109" s="22"/>
      <c r="Z109" s="40"/>
      <c r="AA109" s="40"/>
      <c r="AB109" s="40"/>
      <c r="AC109" s="29">
        <f t="shared" si="24"/>
        <v>1</v>
      </c>
      <c r="AD109" s="30" t="str">
        <f t="shared" si="25"/>
        <v/>
      </c>
      <c r="AE109" s="30">
        <f t="shared" si="26"/>
        <v>-3.2000000000000455</v>
      </c>
      <c r="AF109" s="2"/>
    </row>
    <row r="110" spans="1:34" ht="20.25" customHeight="1" x14ac:dyDescent="0.2">
      <c r="A110" s="31">
        <f t="shared" si="33"/>
        <v>44176</v>
      </c>
      <c r="B110" s="32">
        <f t="shared" si="33"/>
        <v>50</v>
      </c>
      <c r="C110" s="62">
        <f t="shared" si="19"/>
        <v>44176</v>
      </c>
      <c r="D110" s="19">
        <v>4</v>
      </c>
      <c r="E110" s="20" t="s">
        <v>26</v>
      </c>
      <c r="F110" s="21">
        <v>44176.512870370374</v>
      </c>
      <c r="G110" s="22">
        <v>1895.5</v>
      </c>
      <c r="H110" s="22"/>
      <c r="I110" s="21">
        <v>44176.515648148146</v>
      </c>
      <c r="J110" s="22">
        <v>1892.5</v>
      </c>
      <c r="K110" s="22"/>
      <c r="L110" s="23">
        <f t="shared" si="20"/>
        <v>2.7777777722803876E-3</v>
      </c>
      <c r="M110" s="22">
        <f t="shared" si="21"/>
        <v>3</v>
      </c>
      <c r="N110" s="24">
        <v>5</v>
      </c>
      <c r="O110" s="25">
        <v>1</v>
      </c>
      <c r="P110" s="25">
        <f>+IF(J110&gt;0,O110*0.8,0)</f>
        <v>0.8</v>
      </c>
      <c r="Q110" s="26"/>
      <c r="R110" s="26"/>
      <c r="S110" s="26"/>
      <c r="T110" s="27"/>
      <c r="U110" s="83">
        <f t="shared" si="23"/>
        <v>14.2</v>
      </c>
      <c r="V110" s="22"/>
      <c r="W110" s="22"/>
      <c r="X110" s="40"/>
      <c r="Y110" s="22"/>
      <c r="Z110" s="40"/>
      <c r="AA110" s="40"/>
      <c r="AB110" s="40"/>
      <c r="AC110" s="29">
        <f t="shared" si="24"/>
        <v>1</v>
      </c>
      <c r="AD110" s="30">
        <f t="shared" si="25"/>
        <v>3</v>
      </c>
      <c r="AE110" s="30" t="str">
        <f t="shared" si="26"/>
        <v/>
      </c>
      <c r="AF110" s="6">
        <f>+SUM(AD107:AD111)</f>
        <v>4.0999999999999091</v>
      </c>
      <c r="AG110" s="6">
        <f>+SUM(AE106:AE111)</f>
        <v>-6.2000000000000455</v>
      </c>
    </row>
    <row r="111" spans="1:34" ht="20.25" customHeight="1" x14ac:dyDescent="0.2">
      <c r="A111" s="33">
        <f t="shared" si="33"/>
        <v>44176</v>
      </c>
      <c r="B111" s="34">
        <f t="shared" si="33"/>
        <v>50</v>
      </c>
      <c r="C111" s="63">
        <f t="shared" si="19"/>
        <v>44176</v>
      </c>
      <c r="D111" s="19">
        <v>5</v>
      </c>
      <c r="E111" s="20" t="s">
        <v>25</v>
      </c>
      <c r="F111" s="21">
        <v>44176.521064814813</v>
      </c>
      <c r="G111" s="22">
        <v>1897.9</v>
      </c>
      <c r="H111" s="22"/>
      <c r="I111" s="21">
        <v>44176.524502314816</v>
      </c>
      <c r="J111" s="22">
        <v>1894.9</v>
      </c>
      <c r="K111" s="22"/>
      <c r="L111" s="23">
        <f t="shared" si="20"/>
        <v>3.4375000032014214E-3</v>
      </c>
      <c r="M111" s="22">
        <f t="shared" si="21"/>
        <v>-3</v>
      </c>
      <c r="N111" s="24">
        <v>5</v>
      </c>
      <c r="O111" s="25">
        <v>1</v>
      </c>
      <c r="P111" s="25">
        <f>+IF(J111&gt;0,O111*0.8,0)</f>
        <v>0.8</v>
      </c>
      <c r="Q111" s="26"/>
      <c r="R111" s="26"/>
      <c r="S111" s="26"/>
      <c r="T111" s="27"/>
      <c r="U111" s="83">
        <f t="shared" si="23"/>
        <v>-15.8</v>
      </c>
      <c r="V111" s="22"/>
      <c r="W111" s="22"/>
      <c r="X111" s="40"/>
      <c r="Y111" s="22"/>
      <c r="Z111" s="40"/>
      <c r="AA111" s="40"/>
      <c r="AB111" s="40"/>
      <c r="AC111" s="29">
        <f t="shared" si="24"/>
        <v>1</v>
      </c>
      <c r="AD111" s="30" t="str">
        <f t="shared" si="25"/>
        <v/>
      </c>
      <c r="AE111" s="30">
        <f t="shared" si="26"/>
        <v>-3</v>
      </c>
      <c r="AF111" s="7">
        <f>+COUNT(AD107:AD111)</f>
        <v>3</v>
      </c>
      <c r="AG111" s="7">
        <f>+COUNT(AE106:AE111)</f>
        <v>2</v>
      </c>
    </row>
    <row r="112" spans="1:34" ht="20.25" customHeight="1" x14ac:dyDescent="0.2">
      <c r="A112" s="17">
        <f>+A107+1</f>
        <v>44177</v>
      </c>
      <c r="B112" s="18">
        <f>WEEKNUM(A112,2)</f>
        <v>50</v>
      </c>
      <c r="C112" s="61">
        <f t="shared" si="19"/>
        <v>44177</v>
      </c>
      <c r="D112" s="19">
        <v>1</v>
      </c>
      <c r="E112" s="20"/>
      <c r="F112" s="21"/>
      <c r="G112" s="22"/>
      <c r="H112" s="22"/>
      <c r="I112" s="21"/>
      <c r="J112" s="22"/>
      <c r="K112" s="22"/>
      <c r="L112" s="23">
        <f t="shared" si="20"/>
        <v>0</v>
      </c>
      <c r="M112" s="22">
        <f t="shared" si="21"/>
        <v>0</v>
      </c>
      <c r="N112" s="24">
        <v>5</v>
      </c>
      <c r="O112" s="25">
        <v>1</v>
      </c>
      <c r="P112" s="25">
        <f t="shared" si="22"/>
        <v>0</v>
      </c>
      <c r="Q112" s="26"/>
      <c r="R112" s="26"/>
      <c r="S112" s="26"/>
      <c r="T112" s="27"/>
      <c r="U112" s="28">
        <f t="shared" si="23"/>
        <v>0</v>
      </c>
      <c r="V112" s="22">
        <f>SUM(U112:U116)</f>
        <v>0</v>
      </c>
      <c r="W112" s="74">
        <f>+Tabla1[[#This Row],[RESULTADO DEL DÍA]]+W107</f>
        <v>2243.5000000000023</v>
      </c>
      <c r="X112" s="22">
        <f>+X107+Tabla1[[#This Row],[Objetivo presupuestado]]</f>
        <v>2850</v>
      </c>
      <c r="Y112" s="22" t="str">
        <f>IF(AF112=0,"0",10)</f>
        <v>0</v>
      </c>
      <c r="Z112" s="22" t="str">
        <f>IF(AF112=0,"0",50)</f>
        <v>0</v>
      </c>
      <c r="AA112" s="27">
        <f>+IFERROR(AF115/(AG115*-1),AF115)</f>
        <v>0</v>
      </c>
      <c r="AB112" s="75" t="str">
        <f>+IFERROR(AF116/AF112,"0")</f>
        <v>0</v>
      </c>
      <c r="AC112" s="29" t="str">
        <f t="shared" si="24"/>
        <v/>
      </c>
      <c r="AD112" s="30" t="str">
        <f t="shared" si="25"/>
        <v/>
      </c>
      <c r="AE112" s="30" t="str">
        <f t="shared" si="26"/>
        <v/>
      </c>
      <c r="AF112" s="9">
        <f>+COUNTIF(AC112:AC116,"1")</f>
        <v>0</v>
      </c>
      <c r="AH112" s="6">
        <f>+SUM(AF104:AF142)</f>
        <v>48.700000000000045</v>
      </c>
    </row>
    <row r="113" spans="1:34" ht="20.25" customHeight="1" x14ac:dyDescent="0.2">
      <c r="A113" s="31">
        <f t="shared" ref="A113:B116" si="34">+A112</f>
        <v>44177</v>
      </c>
      <c r="B113" s="32">
        <f t="shared" si="34"/>
        <v>50</v>
      </c>
      <c r="C113" s="62">
        <f t="shared" si="19"/>
        <v>44177</v>
      </c>
      <c r="D113" s="19">
        <v>2</v>
      </c>
      <c r="E113" s="20"/>
      <c r="F113" s="21"/>
      <c r="G113" s="22"/>
      <c r="H113" s="22"/>
      <c r="I113" s="21"/>
      <c r="J113" s="22"/>
      <c r="K113" s="22"/>
      <c r="L113" s="23">
        <f t="shared" si="20"/>
        <v>0</v>
      </c>
      <c r="M113" s="22">
        <f t="shared" si="21"/>
        <v>0</v>
      </c>
      <c r="N113" s="24">
        <v>5</v>
      </c>
      <c r="O113" s="25">
        <v>1</v>
      </c>
      <c r="P113" s="25">
        <f t="shared" si="22"/>
        <v>0</v>
      </c>
      <c r="Q113" s="26"/>
      <c r="R113" s="26"/>
      <c r="S113" s="26"/>
      <c r="T113" s="27"/>
      <c r="U113" s="28">
        <f t="shared" si="23"/>
        <v>0</v>
      </c>
      <c r="V113" s="22"/>
      <c r="W113" s="22"/>
      <c r="X113" s="40"/>
      <c r="Y113" s="22"/>
      <c r="Z113" s="40"/>
      <c r="AA113" s="73"/>
      <c r="AB113" s="73"/>
      <c r="AC113" s="29" t="str">
        <f t="shared" si="24"/>
        <v/>
      </c>
      <c r="AD113" s="30" t="str">
        <f t="shared" si="25"/>
        <v/>
      </c>
      <c r="AE113" s="30" t="str">
        <f t="shared" si="26"/>
        <v/>
      </c>
      <c r="AF113" s="2"/>
      <c r="AH113" s="6"/>
    </row>
    <row r="114" spans="1:34" ht="20.25" customHeight="1" x14ac:dyDescent="0.2">
      <c r="A114" s="31">
        <f t="shared" si="34"/>
        <v>44177</v>
      </c>
      <c r="B114" s="32">
        <f t="shared" si="34"/>
        <v>50</v>
      </c>
      <c r="C114" s="62">
        <f t="shared" si="19"/>
        <v>44177</v>
      </c>
      <c r="D114" s="19">
        <v>3</v>
      </c>
      <c r="E114" s="20"/>
      <c r="F114" s="21"/>
      <c r="G114" s="22"/>
      <c r="H114" s="22"/>
      <c r="I114" s="21"/>
      <c r="J114" s="22"/>
      <c r="K114" s="22"/>
      <c r="L114" s="23">
        <f t="shared" si="20"/>
        <v>0</v>
      </c>
      <c r="M114" s="22">
        <f t="shared" si="21"/>
        <v>0</v>
      </c>
      <c r="N114" s="24">
        <v>5</v>
      </c>
      <c r="O114" s="25">
        <v>1</v>
      </c>
      <c r="P114" s="25">
        <f t="shared" si="22"/>
        <v>0</v>
      </c>
      <c r="Q114" s="26"/>
      <c r="R114" s="26"/>
      <c r="S114" s="26"/>
      <c r="T114" s="27"/>
      <c r="U114" s="28">
        <f t="shared" si="23"/>
        <v>0</v>
      </c>
      <c r="V114" s="22"/>
      <c r="W114" s="22"/>
      <c r="X114" s="40"/>
      <c r="Y114" s="22"/>
      <c r="Z114" s="40"/>
      <c r="AA114" s="40"/>
      <c r="AB114" s="40"/>
      <c r="AC114" s="29" t="str">
        <f t="shared" si="24"/>
        <v/>
      </c>
      <c r="AD114" s="30" t="str">
        <f t="shared" si="25"/>
        <v/>
      </c>
      <c r="AE114" s="30" t="str">
        <f t="shared" si="26"/>
        <v/>
      </c>
      <c r="AF114" s="2"/>
      <c r="AH114" s="6"/>
    </row>
    <row r="115" spans="1:34" ht="20.25" customHeight="1" x14ac:dyDescent="0.2">
      <c r="A115" s="31">
        <f t="shared" si="34"/>
        <v>44177</v>
      </c>
      <c r="B115" s="32">
        <f t="shared" si="34"/>
        <v>50</v>
      </c>
      <c r="C115" s="62">
        <f t="shared" si="19"/>
        <v>44177</v>
      </c>
      <c r="D115" s="19">
        <v>4</v>
      </c>
      <c r="E115" s="20"/>
      <c r="F115" s="21"/>
      <c r="G115" s="22"/>
      <c r="H115" s="22"/>
      <c r="I115" s="21"/>
      <c r="J115" s="22"/>
      <c r="K115" s="22"/>
      <c r="L115" s="23">
        <f t="shared" si="20"/>
        <v>0</v>
      </c>
      <c r="M115" s="22">
        <f t="shared" si="21"/>
        <v>0</v>
      </c>
      <c r="N115" s="24">
        <v>5</v>
      </c>
      <c r="O115" s="25">
        <v>1</v>
      </c>
      <c r="P115" s="25">
        <f t="shared" si="22"/>
        <v>0</v>
      </c>
      <c r="Q115" s="26"/>
      <c r="R115" s="26"/>
      <c r="S115" s="26"/>
      <c r="T115" s="27"/>
      <c r="U115" s="28">
        <f t="shared" si="23"/>
        <v>0</v>
      </c>
      <c r="V115" s="22"/>
      <c r="W115" s="22"/>
      <c r="X115" s="40"/>
      <c r="Y115" s="22"/>
      <c r="Z115" s="40"/>
      <c r="AA115" s="40"/>
      <c r="AB115" s="40"/>
      <c r="AC115" s="29" t="str">
        <f t="shared" si="24"/>
        <v/>
      </c>
      <c r="AD115" s="30" t="str">
        <f t="shared" si="25"/>
        <v/>
      </c>
      <c r="AE115" s="30" t="str">
        <f t="shared" si="26"/>
        <v/>
      </c>
      <c r="AF115" s="6">
        <f>+SUM(AD112:AD116)</f>
        <v>0</v>
      </c>
      <c r="AG115" s="6">
        <f>+SUM(AE111:AE116)</f>
        <v>-3</v>
      </c>
      <c r="AH115" s="6"/>
    </row>
    <row r="116" spans="1:34" ht="20.25" customHeight="1" x14ac:dyDescent="0.2">
      <c r="A116" s="33">
        <f t="shared" si="34"/>
        <v>44177</v>
      </c>
      <c r="B116" s="34">
        <f t="shared" si="34"/>
        <v>50</v>
      </c>
      <c r="C116" s="63">
        <f t="shared" si="19"/>
        <v>44177</v>
      </c>
      <c r="D116" s="19">
        <v>5</v>
      </c>
      <c r="E116" s="20"/>
      <c r="F116" s="21"/>
      <c r="G116" s="22"/>
      <c r="H116" s="22"/>
      <c r="I116" s="21"/>
      <c r="J116" s="22"/>
      <c r="K116" s="22"/>
      <c r="L116" s="23">
        <f t="shared" si="20"/>
        <v>0</v>
      </c>
      <c r="M116" s="22">
        <f t="shared" si="21"/>
        <v>0</v>
      </c>
      <c r="N116" s="24">
        <v>5</v>
      </c>
      <c r="O116" s="25">
        <v>1</v>
      </c>
      <c r="P116" s="25">
        <f t="shared" si="22"/>
        <v>0</v>
      </c>
      <c r="Q116" s="26"/>
      <c r="R116" s="26"/>
      <c r="S116" s="26"/>
      <c r="T116" s="27"/>
      <c r="U116" s="28">
        <f t="shared" si="23"/>
        <v>0</v>
      </c>
      <c r="V116" s="22"/>
      <c r="W116" s="22"/>
      <c r="X116" s="40"/>
      <c r="Y116" s="22"/>
      <c r="Z116" s="40"/>
      <c r="AA116" s="40"/>
      <c r="AB116" s="40"/>
      <c r="AC116" s="29" t="str">
        <f t="shared" si="24"/>
        <v/>
      </c>
      <c r="AD116" s="30" t="str">
        <f t="shared" si="25"/>
        <v/>
      </c>
      <c r="AE116" s="30" t="str">
        <f t="shared" si="26"/>
        <v/>
      </c>
      <c r="AF116" s="7">
        <f>+COUNT(AD112:AD116)</f>
        <v>0</v>
      </c>
      <c r="AG116" s="7">
        <f>+COUNT(AE111:AE116)</f>
        <v>1</v>
      </c>
      <c r="AH116" s="6"/>
    </row>
    <row r="117" spans="1:34" ht="20.25" customHeight="1" x14ac:dyDescent="0.2">
      <c r="A117" s="17">
        <f>+A112+1</f>
        <v>44178</v>
      </c>
      <c r="B117" s="18">
        <f>WEEKNUM(A117,2)</f>
        <v>50</v>
      </c>
      <c r="C117" s="61">
        <f t="shared" si="19"/>
        <v>44178</v>
      </c>
      <c r="D117" s="19">
        <v>1</v>
      </c>
      <c r="E117" s="20"/>
      <c r="F117" s="21"/>
      <c r="G117" s="22"/>
      <c r="H117" s="22"/>
      <c r="I117" s="21"/>
      <c r="J117" s="22"/>
      <c r="K117" s="22"/>
      <c r="L117" s="23">
        <f t="shared" si="20"/>
        <v>0</v>
      </c>
      <c r="M117" s="22">
        <f t="shared" si="21"/>
        <v>0</v>
      </c>
      <c r="N117" s="24">
        <v>5</v>
      </c>
      <c r="O117" s="25">
        <v>1</v>
      </c>
      <c r="P117" s="25">
        <f t="shared" si="22"/>
        <v>0</v>
      </c>
      <c r="Q117" s="26"/>
      <c r="R117" s="26"/>
      <c r="S117" s="26"/>
      <c r="T117" s="27"/>
      <c r="U117" s="28">
        <f t="shared" si="23"/>
        <v>0</v>
      </c>
      <c r="V117" s="22">
        <f>SUM(U117:U121)</f>
        <v>0</v>
      </c>
      <c r="W117" s="74">
        <f>+Tabla1[[#This Row],[RESULTADO DEL DÍA]]+W112</f>
        <v>2243.5000000000023</v>
      </c>
      <c r="X117" s="22">
        <f>+X112+Tabla1[[#This Row],[Objetivo presupuestado]]</f>
        <v>2850</v>
      </c>
      <c r="Y117" s="22" t="str">
        <f>IF(AF117=0,"0",10)</f>
        <v>0</v>
      </c>
      <c r="Z117" s="22" t="str">
        <f>IF(AF117=0,"0",50)</f>
        <v>0</v>
      </c>
      <c r="AA117" s="27">
        <f>+IFERROR(AF120/(AG120*-1),AF120)</f>
        <v>0</v>
      </c>
      <c r="AB117" s="75" t="str">
        <f>+IFERROR(AF121/AF117,"0")</f>
        <v>0</v>
      </c>
      <c r="AC117" s="29" t="str">
        <f t="shared" si="24"/>
        <v/>
      </c>
      <c r="AD117" s="30" t="str">
        <f t="shared" si="25"/>
        <v/>
      </c>
      <c r="AE117" s="30" t="str">
        <f t="shared" si="26"/>
        <v/>
      </c>
      <c r="AF117" s="9">
        <f>+COUNTIF(AC117:AC121,"1")</f>
        <v>0</v>
      </c>
      <c r="AH117" s="6"/>
    </row>
    <row r="118" spans="1:34" ht="20.25" customHeight="1" x14ac:dyDescent="0.2">
      <c r="A118" s="31">
        <f t="shared" ref="A118:B121" si="35">+A117</f>
        <v>44178</v>
      </c>
      <c r="B118" s="32">
        <f t="shared" si="35"/>
        <v>50</v>
      </c>
      <c r="C118" s="62">
        <f t="shared" si="19"/>
        <v>44178</v>
      </c>
      <c r="D118" s="19">
        <v>2</v>
      </c>
      <c r="E118" s="20"/>
      <c r="F118" s="21"/>
      <c r="G118" s="22"/>
      <c r="H118" s="22"/>
      <c r="I118" s="21"/>
      <c r="J118" s="22"/>
      <c r="K118" s="22"/>
      <c r="L118" s="23">
        <f t="shared" si="20"/>
        <v>0</v>
      </c>
      <c r="M118" s="22">
        <f t="shared" si="21"/>
        <v>0</v>
      </c>
      <c r="N118" s="24">
        <v>5</v>
      </c>
      <c r="O118" s="25">
        <v>1</v>
      </c>
      <c r="P118" s="25">
        <f t="shared" si="22"/>
        <v>0</v>
      </c>
      <c r="Q118" s="26"/>
      <c r="R118" s="26"/>
      <c r="S118" s="26"/>
      <c r="T118" s="27"/>
      <c r="U118" s="28">
        <f t="shared" si="23"/>
        <v>0</v>
      </c>
      <c r="V118" s="22"/>
      <c r="W118" s="22"/>
      <c r="X118" s="40"/>
      <c r="Y118" s="22"/>
      <c r="Z118" s="40"/>
      <c r="AA118" s="73"/>
      <c r="AB118" s="73"/>
      <c r="AC118" s="29" t="str">
        <f t="shared" si="24"/>
        <v/>
      </c>
      <c r="AD118" s="30" t="str">
        <f t="shared" si="25"/>
        <v/>
      </c>
      <c r="AE118" s="30" t="str">
        <f t="shared" si="26"/>
        <v/>
      </c>
      <c r="AF118" s="2"/>
      <c r="AH118" s="6"/>
    </row>
    <row r="119" spans="1:34" ht="20.25" customHeight="1" x14ac:dyDescent="0.2">
      <c r="A119" s="31">
        <f t="shared" si="35"/>
        <v>44178</v>
      </c>
      <c r="B119" s="32">
        <f t="shared" si="35"/>
        <v>50</v>
      </c>
      <c r="C119" s="62">
        <f t="shared" si="19"/>
        <v>44178</v>
      </c>
      <c r="D119" s="19">
        <v>3</v>
      </c>
      <c r="E119" s="20"/>
      <c r="F119" s="21"/>
      <c r="G119" s="22"/>
      <c r="H119" s="22"/>
      <c r="I119" s="21"/>
      <c r="J119" s="22"/>
      <c r="K119" s="22"/>
      <c r="L119" s="23">
        <f t="shared" si="20"/>
        <v>0</v>
      </c>
      <c r="M119" s="22">
        <f t="shared" si="21"/>
        <v>0</v>
      </c>
      <c r="N119" s="24">
        <v>5</v>
      </c>
      <c r="O119" s="25">
        <v>1</v>
      </c>
      <c r="P119" s="25">
        <f t="shared" si="22"/>
        <v>0</v>
      </c>
      <c r="Q119" s="26"/>
      <c r="R119" s="26"/>
      <c r="S119" s="26"/>
      <c r="T119" s="27"/>
      <c r="U119" s="28">
        <f t="shared" si="23"/>
        <v>0</v>
      </c>
      <c r="V119" s="22"/>
      <c r="W119" s="22"/>
      <c r="X119" s="40"/>
      <c r="Y119" s="22"/>
      <c r="Z119" s="40"/>
      <c r="AA119" s="40"/>
      <c r="AB119" s="40"/>
      <c r="AC119" s="29" t="str">
        <f t="shared" si="24"/>
        <v/>
      </c>
      <c r="AD119" s="30" t="str">
        <f t="shared" si="25"/>
        <v/>
      </c>
      <c r="AE119" s="30" t="str">
        <f t="shared" si="26"/>
        <v/>
      </c>
      <c r="AF119" s="2"/>
      <c r="AH119" s="6"/>
    </row>
    <row r="120" spans="1:34" ht="20.25" customHeight="1" x14ac:dyDescent="0.2">
      <c r="A120" s="31">
        <f t="shared" si="35"/>
        <v>44178</v>
      </c>
      <c r="B120" s="32">
        <f t="shared" si="35"/>
        <v>50</v>
      </c>
      <c r="C120" s="62">
        <f t="shared" si="19"/>
        <v>44178</v>
      </c>
      <c r="D120" s="19">
        <v>4</v>
      </c>
      <c r="E120" s="20"/>
      <c r="F120" s="21"/>
      <c r="G120" s="22"/>
      <c r="H120" s="22"/>
      <c r="I120" s="21"/>
      <c r="J120" s="22"/>
      <c r="K120" s="22"/>
      <c r="L120" s="23">
        <f t="shared" si="20"/>
        <v>0</v>
      </c>
      <c r="M120" s="22">
        <f t="shared" si="21"/>
        <v>0</v>
      </c>
      <c r="N120" s="24">
        <v>5</v>
      </c>
      <c r="O120" s="25">
        <v>1</v>
      </c>
      <c r="P120" s="25">
        <f t="shared" si="22"/>
        <v>0</v>
      </c>
      <c r="Q120" s="26"/>
      <c r="R120" s="26"/>
      <c r="S120" s="26"/>
      <c r="T120" s="27"/>
      <c r="U120" s="28">
        <f t="shared" si="23"/>
        <v>0</v>
      </c>
      <c r="V120" s="22"/>
      <c r="W120" s="22"/>
      <c r="X120" s="40"/>
      <c r="Y120" s="22"/>
      <c r="Z120" s="40"/>
      <c r="AA120" s="40"/>
      <c r="AB120" s="40"/>
      <c r="AC120" s="29" t="str">
        <f t="shared" si="24"/>
        <v/>
      </c>
      <c r="AD120" s="30" t="str">
        <f t="shared" si="25"/>
        <v/>
      </c>
      <c r="AE120" s="30" t="str">
        <f t="shared" si="26"/>
        <v/>
      </c>
      <c r="AF120" s="6">
        <f>+SUM(AD117:AD121)</f>
        <v>0</v>
      </c>
      <c r="AG120" s="6">
        <f>+SUM(AE116:AE121)</f>
        <v>0</v>
      </c>
      <c r="AH120" s="6"/>
    </row>
    <row r="121" spans="1:34" ht="20.25" customHeight="1" x14ac:dyDescent="0.2">
      <c r="A121" s="33">
        <f t="shared" si="35"/>
        <v>44178</v>
      </c>
      <c r="B121" s="34">
        <f t="shared" si="35"/>
        <v>50</v>
      </c>
      <c r="C121" s="63">
        <f t="shared" si="19"/>
        <v>44178</v>
      </c>
      <c r="D121" s="19">
        <v>5</v>
      </c>
      <c r="E121" s="20"/>
      <c r="F121" s="21"/>
      <c r="G121" s="22"/>
      <c r="H121" s="22"/>
      <c r="I121" s="21"/>
      <c r="J121" s="22"/>
      <c r="K121" s="22"/>
      <c r="L121" s="23">
        <f t="shared" si="20"/>
        <v>0</v>
      </c>
      <c r="M121" s="22">
        <f t="shared" si="21"/>
        <v>0</v>
      </c>
      <c r="N121" s="24">
        <v>5</v>
      </c>
      <c r="O121" s="25">
        <v>1</v>
      </c>
      <c r="P121" s="25">
        <f t="shared" si="22"/>
        <v>0</v>
      </c>
      <c r="Q121" s="26"/>
      <c r="R121" s="26"/>
      <c r="S121" s="26"/>
      <c r="T121" s="27"/>
      <c r="U121" s="28">
        <f t="shared" si="23"/>
        <v>0</v>
      </c>
      <c r="V121" s="22"/>
      <c r="W121" s="22"/>
      <c r="X121" s="40"/>
      <c r="Y121" s="22"/>
      <c r="Z121" s="40"/>
      <c r="AA121" s="40"/>
      <c r="AB121" s="40"/>
      <c r="AC121" s="29" t="str">
        <f t="shared" si="24"/>
        <v/>
      </c>
      <c r="AD121" s="30" t="str">
        <f t="shared" si="25"/>
        <v/>
      </c>
      <c r="AE121" s="30" t="str">
        <f t="shared" si="26"/>
        <v/>
      </c>
      <c r="AF121" s="7">
        <f>+COUNT(AD117:AD121)</f>
        <v>0</v>
      </c>
      <c r="AG121" s="7">
        <f>+COUNT(AE116:AE121)</f>
        <v>0</v>
      </c>
      <c r="AH121" s="6"/>
    </row>
    <row r="122" spans="1:34" ht="20.25" customHeight="1" x14ac:dyDescent="0.2">
      <c r="A122" s="17">
        <f>+A117+1</f>
        <v>44179</v>
      </c>
      <c r="B122" s="18">
        <f>WEEKNUM(A122,2)</f>
        <v>51</v>
      </c>
      <c r="C122" s="61">
        <f t="shared" si="19"/>
        <v>44179</v>
      </c>
      <c r="D122" s="19">
        <v>1</v>
      </c>
      <c r="E122" s="20" t="s">
        <v>26</v>
      </c>
      <c r="F122" s="21">
        <v>44179.489907407406</v>
      </c>
      <c r="G122" s="22">
        <v>1939.2</v>
      </c>
      <c r="H122" s="22"/>
      <c r="I122" s="21">
        <v>44179.490925925929</v>
      </c>
      <c r="J122" s="22">
        <v>1939</v>
      </c>
      <c r="K122" s="22"/>
      <c r="L122" s="23">
        <f t="shared" si="20"/>
        <v>1.0185185237787664E-3</v>
      </c>
      <c r="M122" s="22">
        <f t="shared" si="21"/>
        <v>0.20000000000004547</v>
      </c>
      <c r="N122" s="24">
        <v>5</v>
      </c>
      <c r="O122" s="25">
        <v>1</v>
      </c>
      <c r="P122" s="25">
        <f>+IF(J122&gt;0,O122*0.8,0)</f>
        <v>0.8</v>
      </c>
      <c r="Q122" s="26"/>
      <c r="R122" s="26"/>
      <c r="S122" s="26"/>
      <c r="T122" s="27"/>
      <c r="U122" s="83">
        <f t="shared" si="23"/>
        <v>0.20000000000022733</v>
      </c>
      <c r="V122" s="22">
        <f>SUM(U122:U126)</f>
        <v>-48.700000000001822</v>
      </c>
      <c r="W122" s="74">
        <f>+Tabla1[[#This Row],[RESULTADO DEL DÍA]]+W117</f>
        <v>2194.8000000000006</v>
      </c>
      <c r="X122" s="22">
        <f>+X117+Tabla1[[#This Row],[Objetivo presupuestado]]</f>
        <v>2900</v>
      </c>
      <c r="Y122" s="22">
        <f>IF(AF122=0,"0",10)</f>
        <v>10</v>
      </c>
      <c r="Z122" s="22">
        <f>IF(AF122=0,"0",50)</f>
        <v>50</v>
      </c>
      <c r="AA122" s="27">
        <f>+IFERROR(AF125/(AG125*-1),AF125)</f>
        <v>2.1505376344089965E-2</v>
      </c>
      <c r="AB122" s="75">
        <f>+IFERROR(AF126/AF122,"0")</f>
        <v>0.25</v>
      </c>
      <c r="AC122" s="29">
        <f t="shared" si="24"/>
        <v>1</v>
      </c>
      <c r="AD122" s="30">
        <f t="shared" si="25"/>
        <v>0.20000000000004547</v>
      </c>
      <c r="AE122" s="30" t="str">
        <f t="shared" si="26"/>
        <v/>
      </c>
      <c r="AF122" s="9">
        <f>+COUNTIF(AC122:AC126,"1")</f>
        <v>4</v>
      </c>
      <c r="AH122" s="6"/>
    </row>
    <row r="123" spans="1:34" ht="20.25" customHeight="1" x14ac:dyDescent="0.2">
      <c r="A123" s="31">
        <f t="shared" ref="A123:B126" si="36">+A122</f>
        <v>44179</v>
      </c>
      <c r="B123" s="32">
        <f t="shared" si="36"/>
        <v>51</v>
      </c>
      <c r="C123" s="62">
        <f t="shared" si="19"/>
        <v>44179</v>
      </c>
      <c r="D123" s="19">
        <v>2</v>
      </c>
      <c r="E123" s="20" t="s">
        <v>25</v>
      </c>
      <c r="F123" s="21">
        <v>44179.554363425923</v>
      </c>
      <c r="G123" s="22">
        <v>1935.7</v>
      </c>
      <c r="H123" s="22"/>
      <c r="I123" s="21">
        <v>44179.556631944448</v>
      </c>
      <c r="J123" s="22">
        <v>1932.6</v>
      </c>
      <c r="K123" s="22"/>
      <c r="L123" s="23">
        <f t="shared" si="20"/>
        <v>2.2685185249429196E-3</v>
      </c>
      <c r="M123" s="22">
        <f t="shared" si="21"/>
        <v>-3.1000000000001364</v>
      </c>
      <c r="N123" s="24">
        <v>5</v>
      </c>
      <c r="O123" s="25">
        <v>1</v>
      </c>
      <c r="P123" s="25">
        <f>+IF(J123&gt;0,O123*0.8,0)</f>
        <v>0.8</v>
      </c>
      <c r="Q123" s="26"/>
      <c r="R123" s="26"/>
      <c r="S123" s="26"/>
      <c r="T123" s="27"/>
      <c r="U123" s="83">
        <f t="shared" si="23"/>
        <v>-16.300000000000683</v>
      </c>
      <c r="V123" s="22"/>
      <c r="W123" s="22"/>
      <c r="X123" s="40"/>
      <c r="Y123" s="22"/>
      <c r="Z123" s="40"/>
      <c r="AA123" s="73"/>
      <c r="AB123" s="73"/>
      <c r="AC123" s="29">
        <f t="shared" si="24"/>
        <v>1</v>
      </c>
      <c r="AD123" s="30" t="str">
        <f t="shared" si="25"/>
        <v/>
      </c>
      <c r="AE123" s="30">
        <f t="shared" si="26"/>
        <v>-3.1000000000001364</v>
      </c>
      <c r="AF123" s="2"/>
      <c r="AH123" s="6"/>
    </row>
    <row r="124" spans="1:34" ht="20.25" customHeight="1" x14ac:dyDescent="0.2">
      <c r="A124" s="31">
        <f t="shared" si="36"/>
        <v>44179</v>
      </c>
      <c r="B124" s="32">
        <f t="shared" si="36"/>
        <v>51</v>
      </c>
      <c r="C124" s="62">
        <f t="shared" si="19"/>
        <v>44179</v>
      </c>
      <c r="D124" s="19">
        <v>3</v>
      </c>
      <c r="E124" s="20" t="s">
        <v>25</v>
      </c>
      <c r="F124" s="21">
        <v>44179.559155092589</v>
      </c>
      <c r="G124" s="22">
        <v>1935.2</v>
      </c>
      <c r="H124" s="22"/>
      <c r="I124" s="21">
        <v>44179.560590277775</v>
      </c>
      <c r="J124" s="22">
        <v>1932.1</v>
      </c>
      <c r="K124" s="22"/>
      <c r="L124" s="23">
        <f t="shared" si="20"/>
        <v>1.4351851859828457E-3</v>
      </c>
      <c r="M124" s="22">
        <f t="shared" si="21"/>
        <v>-3.1000000000001364</v>
      </c>
      <c r="N124" s="24">
        <v>5</v>
      </c>
      <c r="O124" s="25">
        <v>1</v>
      </c>
      <c r="P124" s="25">
        <f>+IF(J124&gt;0,O124*0.8,0)</f>
        <v>0.8</v>
      </c>
      <c r="Q124" s="26"/>
      <c r="R124" s="26"/>
      <c r="S124" s="26"/>
      <c r="T124" s="27"/>
      <c r="U124" s="83">
        <f t="shared" si="23"/>
        <v>-16.300000000000683</v>
      </c>
      <c r="V124" s="22"/>
      <c r="W124" s="22"/>
      <c r="X124" s="40"/>
      <c r="Y124" s="22"/>
      <c r="Z124" s="40"/>
      <c r="AA124" s="40"/>
      <c r="AB124" s="40"/>
      <c r="AC124" s="29">
        <f t="shared" si="24"/>
        <v>1</v>
      </c>
      <c r="AD124" s="30" t="str">
        <f t="shared" si="25"/>
        <v/>
      </c>
      <c r="AE124" s="30">
        <f t="shared" si="26"/>
        <v>-3.1000000000001364</v>
      </c>
      <c r="AF124" s="2"/>
      <c r="AH124" s="6"/>
    </row>
    <row r="125" spans="1:34" ht="20.25" customHeight="1" x14ac:dyDescent="0.2">
      <c r="A125" s="31">
        <f t="shared" si="36"/>
        <v>44179</v>
      </c>
      <c r="B125" s="32">
        <f t="shared" si="36"/>
        <v>51</v>
      </c>
      <c r="C125" s="62">
        <f t="shared" si="19"/>
        <v>44179</v>
      </c>
      <c r="D125" s="19">
        <v>4</v>
      </c>
      <c r="E125" s="20" t="s">
        <v>25</v>
      </c>
      <c r="F125" s="21">
        <v>44179.57644675926</v>
      </c>
      <c r="G125" s="22">
        <v>1934.9</v>
      </c>
      <c r="H125" s="22"/>
      <c r="I125" s="21">
        <v>44179.581574074073</v>
      </c>
      <c r="J125" s="22">
        <v>1931.8</v>
      </c>
      <c r="K125" s="22"/>
      <c r="L125" s="23">
        <f t="shared" si="20"/>
        <v>5.1273148128530011E-3</v>
      </c>
      <c r="M125" s="22">
        <f t="shared" si="21"/>
        <v>-3.1000000000001364</v>
      </c>
      <c r="N125" s="24">
        <v>5</v>
      </c>
      <c r="O125" s="25">
        <v>1</v>
      </c>
      <c r="P125" s="25">
        <f>+IF(J125&gt;0,O125*0.8,0)</f>
        <v>0.8</v>
      </c>
      <c r="Q125" s="26"/>
      <c r="R125" s="26"/>
      <c r="S125" s="26"/>
      <c r="T125" s="27"/>
      <c r="U125" s="83">
        <f t="shared" si="23"/>
        <v>-16.300000000000683</v>
      </c>
      <c r="V125" s="22"/>
      <c r="W125" s="22"/>
      <c r="X125" s="40"/>
      <c r="Y125" s="22"/>
      <c r="Z125" s="40"/>
      <c r="AA125" s="40"/>
      <c r="AB125" s="40"/>
      <c r="AC125" s="29">
        <f t="shared" si="24"/>
        <v>1</v>
      </c>
      <c r="AD125" s="30" t="str">
        <f t="shared" si="25"/>
        <v/>
      </c>
      <c r="AE125" s="30">
        <f t="shared" si="26"/>
        <v>-3.1000000000001364</v>
      </c>
      <c r="AF125" s="6">
        <f>+SUM(AD122:AD126)</f>
        <v>0.20000000000004547</v>
      </c>
      <c r="AG125" s="6">
        <f>+SUM(AE121:AE126)</f>
        <v>-9.3000000000004093</v>
      </c>
      <c r="AH125" s="6"/>
    </row>
    <row r="126" spans="1:34" ht="20.25" customHeight="1" x14ac:dyDescent="0.2">
      <c r="A126" s="33">
        <f t="shared" si="36"/>
        <v>44179</v>
      </c>
      <c r="B126" s="34">
        <f t="shared" si="36"/>
        <v>51</v>
      </c>
      <c r="C126" s="63">
        <f t="shared" si="19"/>
        <v>44179</v>
      </c>
      <c r="D126" s="19">
        <v>5</v>
      </c>
      <c r="E126" s="20"/>
      <c r="F126" s="21"/>
      <c r="G126" s="22"/>
      <c r="H126" s="22"/>
      <c r="I126" s="21"/>
      <c r="J126" s="22"/>
      <c r="K126" s="22"/>
      <c r="L126" s="23">
        <f t="shared" si="20"/>
        <v>0</v>
      </c>
      <c r="M126" s="22">
        <f t="shared" si="21"/>
        <v>0</v>
      </c>
      <c r="N126" s="24">
        <v>5</v>
      </c>
      <c r="O126" s="25">
        <v>1</v>
      </c>
      <c r="P126" s="25">
        <f t="shared" si="22"/>
        <v>0</v>
      </c>
      <c r="Q126" s="26"/>
      <c r="R126" s="26"/>
      <c r="S126" s="26"/>
      <c r="T126" s="27"/>
      <c r="U126" s="28">
        <f t="shared" si="23"/>
        <v>0</v>
      </c>
      <c r="V126" s="22"/>
      <c r="W126" s="22"/>
      <c r="X126" s="40"/>
      <c r="Y126" s="22"/>
      <c r="Z126" s="40"/>
      <c r="AA126" s="40"/>
      <c r="AB126" s="40"/>
      <c r="AC126" s="29" t="str">
        <f t="shared" si="24"/>
        <v/>
      </c>
      <c r="AD126" s="30" t="str">
        <f t="shared" si="25"/>
        <v/>
      </c>
      <c r="AE126" s="30" t="str">
        <f t="shared" si="26"/>
        <v/>
      </c>
      <c r="AF126" s="7">
        <f>+COUNT(AD122:AD126)</f>
        <v>1</v>
      </c>
      <c r="AG126" s="7">
        <f>+COUNT(AE121:AE126)</f>
        <v>3</v>
      </c>
      <c r="AH126" s="6"/>
    </row>
    <row r="127" spans="1:34" ht="20.25" customHeight="1" x14ac:dyDescent="0.2">
      <c r="A127" s="17">
        <f>+A122+1</f>
        <v>44180</v>
      </c>
      <c r="B127" s="18">
        <f>WEEKNUM(A127,2)</f>
        <v>51</v>
      </c>
      <c r="C127" s="61">
        <f t="shared" si="19"/>
        <v>44180</v>
      </c>
      <c r="D127" s="19">
        <v>1</v>
      </c>
      <c r="E127" s="20" t="s">
        <v>25</v>
      </c>
      <c r="F127" s="21">
        <v>44180.502187500002</v>
      </c>
      <c r="G127" s="22">
        <v>1927.7</v>
      </c>
      <c r="H127" s="22"/>
      <c r="I127" s="21">
        <v>44180.50681712963</v>
      </c>
      <c r="J127" s="22">
        <v>1929.5</v>
      </c>
      <c r="K127" s="22"/>
      <c r="L127" s="23">
        <f t="shared" si="20"/>
        <v>4.6296296277432702E-3</v>
      </c>
      <c r="M127" s="22">
        <f t="shared" si="21"/>
        <v>1.7999999999999545</v>
      </c>
      <c r="N127" s="24">
        <v>5</v>
      </c>
      <c r="O127" s="25">
        <v>1</v>
      </c>
      <c r="P127" s="25">
        <f>+IF(J127&gt;0,O127*0.8,0)</f>
        <v>0.8</v>
      </c>
      <c r="Q127" s="26"/>
      <c r="R127" s="26"/>
      <c r="S127" s="26"/>
      <c r="T127" s="27"/>
      <c r="U127" s="83">
        <f t="shared" si="23"/>
        <v>8.1999999999997719</v>
      </c>
      <c r="V127" s="22">
        <f>SUM(U127:U131)</f>
        <v>20.9</v>
      </c>
      <c r="W127" s="74">
        <f>+Tabla1[[#This Row],[RESULTADO DEL DÍA]]+W122</f>
        <v>2215.7000000000007</v>
      </c>
      <c r="X127" s="22">
        <f>+X122+Tabla1[[#This Row],[Objetivo presupuestado]]</f>
        <v>2950</v>
      </c>
      <c r="Y127" s="22">
        <f>IF(AF127=0,"0",10)</f>
        <v>10</v>
      </c>
      <c r="Z127" s="22">
        <f>IF(AF127=0,"0",50)</f>
        <v>50</v>
      </c>
      <c r="AA127" s="27">
        <f>+IFERROR(AF130/(AG130*-1),AF130)</f>
        <v>4.5</v>
      </c>
      <c r="AB127" s="75">
        <f>+IFERROR(AF131/AF127,"0")</f>
        <v>1</v>
      </c>
      <c r="AC127" s="29">
        <f t="shared" si="24"/>
        <v>1</v>
      </c>
      <c r="AD127" s="30">
        <f t="shared" si="25"/>
        <v>1.7999999999999545</v>
      </c>
      <c r="AE127" s="30" t="str">
        <f t="shared" si="26"/>
        <v/>
      </c>
      <c r="AF127" s="9">
        <f>+COUNTIF(AC127:AC131,"1")</f>
        <v>2</v>
      </c>
      <c r="AH127" s="6"/>
    </row>
    <row r="128" spans="1:34" ht="20.25" customHeight="1" x14ac:dyDescent="0.2">
      <c r="A128" s="31">
        <f t="shared" ref="A128:B131" si="37">+A127</f>
        <v>44180</v>
      </c>
      <c r="B128" s="32">
        <f t="shared" si="37"/>
        <v>51</v>
      </c>
      <c r="C128" s="62">
        <f t="shared" si="19"/>
        <v>44180</v>
      </c>
      <c r="D128" s="19">
        <v>2</v>
      </c>
      <c r="E128" s="20" t="s">
        <v>25</v>
      </c>
      <c r="F128" s="21">
        <v>44180.569791666669</v>
      </c>
      <c r="G128" s="22">
        <v>1934.6</v>
      </c>
      <c r="H128" s="22"/>
      <c r="I128" s="21">
        <v>44180.574976851851</v>
      </c>
      <c r="J128" s="22">
        <v>1937.3</v>
      </c>
      <c r="K128" s="22"/>
      <c r="L128" s="23">
        <f t="shared" si="20"/>
        <v>5.1851851821993478E-3</v>
      </c>
      <c r="M128" s="22">
        <f t="shared" si="21"/>
        <v>2.7000000000000455</v>
      </c>
      <c r="N128" s="24">
        <v>5</v>
      </c>
      <c r="O128" s="25">
        <v>1</v>
      </c>
      <c r="P128" s="25">
        <f>+IF(J128&gt;0,O128*0.8,0)</f>
        <v>0.8</v>
      </c>
      <c r="Q128" s="26"/>
      <c r="R128" s="26"/>
      <c r="S128" s="26"/>
      <c r="T128" s="27"/>
      <c r="U128" s="83">
        <f t="shared" si="23"/>
        <v>12.700000000000227</v>
      </c>
      <c r="V128" s="22"/>
      <c r="W128" s="22"/>
      <c r="X128" s="40"/>
      <c r="Y128" s="22"/>
      <c r="Z128" s="40"/>
      <c r="AA128" s="73"/>
      <c r="AB128" s="73"/>
      <c r="AC128" s="29">
        <f t="shared" si="24"/>
        <v>1</v>
      </c>
      <c r="AD128" s="30">
        <f t="shared" si="25"/>
        <v>2.7000000000000455</v>
      </c>
      <c r="AE128" s="30" t="str">
        <f t="shared" si="26"/>
        <v/>
      </c>
      <c r="AF128" s="2"/>
      <c r="AH128" s="6"/>
    </row>
    <row r="129" spans="1:34" ht="20.25" customHeight="1" x14ac:dyDescent="0.2">
      <c r="A129" s="31">
        <f t="shared" si="37"/>
        <v>44180</v>
      </c>
      <c r="B129" s="32">
        <f t="shared" si="37"/>
        <v>51</v>
      </c>
      <c r="C129" s="62">
        <f t="shared" si="19"/>
        <v>44180</v>
      </c>
      <c r="D129" s="19">
        <v>3</v>
      </c>
      <c r="E129" s="20"/>
      <c r="F129" s="21"/>
      <c r="G129" s="22"/>
      <c r="H129" s="22"/>
      <c r="I129" s="21"/>
      <c r="J129" s="22"/>
      <c r="K129" s="22"/>
      <c r="L129" s="23">
        <f t="shared" si="20"/>
        <v>0</v>
      </c>
      <c r="M129" s="22">
        <f t="shared" si="21"/>
        <v>0</v>
      </c>
      <c r="N129" s="24">
        <v>5</v>
      </c>
      <c r="O129" s="25">
        <v>1</v>
      </c>
      <c r="P129" s="25">
        <f t="shared" si="22"/>
        <v>0</v>
      </c>
      <c r="Q129" s="26"/>
      <c r="R129" s="26"/>
      <c r="S129" s="26"/>
      <c r="T129" s="27"/>
      <c r="U129" s="28">
        <f t="shared" si="23"/>
        <v>0</v>
      </c>
      <c r="V129" s="22"/>
      <c r="W129" s="22"/>
      <c r="X129" s="40"/>
      <c r="Y129" s="22"/>
      <c r="Z129" s="40"/>
      <c r="AA129" s="40"/>
      <c r="AB129" s="40"/>
      <c r="AC129" s="29" t="str">
        <f t="shared" si="24"/>
        <v/>
      </c>
      <c r="AD129" s="30" t="str">
        <f t="shared" si="25"/>
        <v/>
      </c>
      <c r="AE129" s="30" t="str">
        <f t="shared" si="26"/>
        <v/>
      </c>
      <c r="AF129" s="2"/>
      <c r="AH129" s="6"/>
    </row>
    <row r="130" spans="1:34" ht="20.25" customHeight="1" x14ac:dyDescent="0.2">
      <c r="A130" s="31">
        <f t="shared" si="37"/>
        <v>44180</v>
      </c>
      <c r="B130" s="32">
        <f t="shared" si="37"/>
        <v>51</v>
      </c>
      <c r="C130" s="62">
        <f t="shared" si="19"/>
        <v>44180</v>
      </c>
      <c r="D130" s="19">
        <v>4</v>
      </c>
      <c r="E130" s="20"/>
      <c r="F130" s="21"/>
      <c r="G130" s="22"/>
      <c r="H130" s="22"/>
      <c r="I130" s="21"/>
      <c r="J130" s="22"/>
      <c r="K130" s="22"/>
      <c r="L130" s="23">
        <f t="shared" si="20"/>
        <v>0</v>
      </c>
      <c r="M130" s="22">
        <f t="shared" si="21"/>
        <v>0</v>
      </c>
      <c r="N130" s="24">
        <v>5</v>
      </c>
      <c r="O130" s="25">
        <v>1</v>
      </c>
      <c r="P130" s="25">
        <f t="shared" si="22"/>
        <v>0</v>
      </c>
      <c r="Q130" s="26"/>
      <c r="R130" s="26"/>
      <c r="S130" s="26"/>
      <c r="T130" s="27"/>
      <c r="U130" s="28">
        <f t="shared" si="23"/>
        <v>0</v>
      </c>
      <c r="V130" s="22"/>
      <c r="W130" s="22"/>
      <c r="X130" s="40"/>
      <c r="Y130" s="22"/>
      <c r="Z130" s="40"/>
      <c r="AA130" s="40"/>
      <c r="AB130" s="40"/>
      <c r="AC130" s="29" t="str">
        <f t="shared" si="24"/>
        <v/>
      </c>
      <c r="AD130" s="30" t="str">
        <f t="shared" si="25"/>
        <v/>
      </c>
      <c r="AE130" s="30" t="str">
        <f t="shared" si="26"/>
        <v/>
      </c>
      <c r="AF130" s="6">
        <f>+SUM(AD127:AD131)</f>
        <v>4.5</v>
      </c>
      <c r="AG130" s="6">
        <f>+SUM(AE126:AE131)</f>
        <v>0</v>
      </c>
      <c r="AH130" s="6"/>
    </row>
    <row r="131" spans="1:34" ht="20.25" customHeight="1" x14ac:dyDescent="0.2">
      <c r="A131" s="33">
        <f t="shared" si="37"/>
        <v>44180</v>
      </c>
      <c r="B131" s="34">
        <f t="shared" si="37"/>
        <v>51</v>
      </c>
      <c r="C131" s="63">
        <f t="shared" si="19"/>
        <v>44180</v>
      </c>
      <c r="D131" s="19">
        <v>5</v>
      </c>
      <c r="E131" s="20"/>
      <c r="F131" s="21"/>
      <c r="G131" s="22"/>
      <c r="H131" s="22"/>
      <c r="I131" s="21"/>
      <c r="J131" s="22"/>
      <c r="K131" s="22"/>
      <c r="L131" s="23">
        <f t="shared" si="20"/>
        <v>0</v>
      </c>
      <c r="M131" s="22">
        <f t="shared" si="21"/>
        <v>0</v>
      </c>
      <c r="N131" s="24">
        <v>5</v>
      </c>
      <c r="O131" s="25">
        <v>1</v>
      </c>
      <c r="P131" s="25">
        <f t="shared" si="22"/>
        <v>0</v>
      </c>
      <c r="Q131" s="26"/>
      <c r="R131" s="26"/>
      <c r="S131" s="26"/>
      <c r="T131" s="27"/>
      <c r="U131" s="28">
        <f t="shared" si="23"/>
        <v>0</v>
      </c>
      <c r="V131" s="22"/>
      <c r="W131" s="22"/>
      <c r="X131" s="40"/>
      <c r="Y131" s="22"/>
      <c r="Z131" s="40"/>
      <c r="AA131" s="40"/>
      <c r="AB131" s="40"/>
      <c r="AC131" s="29" t="str">
        <f t="shared" si="24"/>
        <v/>
      </c>
      <c r="AD131" s="30" t="str">
        <f t="shared" si="25"/>
        <v/>
      </c>
      <c r="AE131" s="30" t="str">
        <f t="shared" si="26"/>
        <v/>
      </c>
      <c r="AF131" s="7">
        <f>+COUNT(AD127:AD131)</f>
        <v>2</v>
      </c>
      <c r="AG131" s="7">
        <f>+COUNT(AE126:AE131)</f>
        <v>0</v>
      </c>
      <c r="AH131" s="6"/>
    </row>
    <row r="132" spans="1:34" ht="20.25" customHeight="1" x14ac:dyDescent="0.2">
      <c r="A132" s="17">
        <f>+A127+1</f>
        <v>44181</v>
      </c>
      <c r="B132" s="18">
        <f>WEEKNUM(A132,2)</f>
        <v>51</v>
      </c>
      <c r="C132" s="61">
        <f t="shared" si="19"/>
        <v>44181</v>
      </c>
      <c r="D132" s="19">
        <v>1</v>
      </c>
      <c r="E132" s="20" t="s">
        <v>25</v>
      </c>
      <c r="F132" s="21">
        <v>44181.576493055552</v>
      </c>
      <c r="G132" s="22">
        <v>1954</v>
      </c>
      <c r="H132" s="22"/>
      <c r="I132" s="21">
        <v>44181.586655092593</v>
      </c>
      <c r="J132" s="22">
        <v>1952</v>
      </c>
      <c r="K132" s="22"/>
      <c r="L132" s="23">
        <f t="shared" si="20"/>
        <v>1.0162037040572613E-2</v>
      </c>
      <c r="M132" s="22">
        <f t="shared" si="21"/>
        <v>-2</v>
      </c>
      <c r="N132" s="24">
        <v>5</v>
      </c>
      <c r="O132" s="25">
        <v>1</v>
      </c>
      <c r="P132" s="25">
        <f>+IF(J132&gt;0,O132*0.8,0)</f>
        <v>0.8</v>
      </c>
      <c r="Q132" s="26"/>
      <c r="R132" s="26"/>
      <c r="S132" s="26"/>
      <c r="T132" s="27"/>
      <c r="U132" s="83">
        <f t="shared" si="23"/>
        <v>-10.8</v>
      </c>
      <c r="V132" s="22">
        <f>SUM(U132:U136)</f>
        <v>-6.1000000000004553</v>
      </c>
      <c r="W132" s="74">
        <f>+Tabla1[[#This Row],[RESULTADO DEL DÍA]]+W127</f>
        <v>2209.6000000000004</v>
      </c>
      <c r="X132" s="22">
        <f>+X127+Tabla1[[#This Row],[Objetivo presupuestado]]</f>
        <v>3000</v>
      </c>
      <c r="Y132" s="22">
        <f>IF(AF132=0,"0",10)</f>
        <v>10</v>
      </c>
      <c r="Z132" s="22">
        <f>IF(AF132=0,"0",50)</f>
        <v>50</v>
      </c>
      <c r="AA132" s="27">
        <f>+IFERROR(AF135/(AG135*-1),AF135)</f>
        <v>0.54999999999995453</v>
      </c>
      <c r="AB132" s="75">
        <f>+IFERROR(AF136/AF132,"0")</f>
        <v>0.5</v>
      </c>
      <c r="AC132" s="29">
        <f t="shared" si="24"/>
        <v>1</v>
      </c>
      <c r="AD132" s="30" t="str">
        <f t="shared" si="25"/>
        <v/>
      </c>
      <c r="AE132" s="30">
        <f t="shared" si="26"/>
        <v>-2</v>
      </c>
      <c r="AF132" s="9">
        <f>+COUNTIF(AC132:AC136,"1")</f>
        <v>2</v>
      </c>
      <c r="AH132" s="6"/>
    </row>
    <row r="133" spans="1:34" ht="20.25" customHeight="1" x14ac:dyDescent="0.2">
      <c r="A133" s="31">
        <f t="shared" ref="A133:B136" si="38">+A132</f>
        <v>44181</v>
      </c>
      <c r="B133" s="32">
        <f t="shared" si="38"/>
        <v>51</v>
      </c>
      <c r="C133" s="62">
        <f t="shared" si="19"/>
        <v>44181</v>
      </c>
      <c r="D133" s="19">
        <v>2</v>
      </c>
      <c r="E133" s="20" t="s">
        <v>26</v>
      </c>
      <c r="F133" s="21">
        <v>44181.587210648147</v>
      </c>
      <c r="G133" s="22">
        <v>1951.6</v>
      </c>
      <c r="H133" s="22"/>
      <c r="I133" s="21">
        <v>44181.632962962962</v>
      </c>
      <c r="J133" s="22">
        <v>1950.5</v>
      </c>
      <c r="K133" s="22"/>
      <c r="L133" s="23">
        <f t="shared" si="20"/>
        <v>4.5752314814308193E-2</v>
      </c>
      <c r="M133" s="22">
        <f t="shared" si="21"/>
        <v>1.0999999999999091</v>
      </c>
      <c r="N133" s="24">
        <v>5</v>
      </c>
      <c r="O133" s="25">
        <v>1</v>
      </c>
      <c r="P133" s="25">
        <f>+IF(J133&gt;0,O133*0.8,0)</f>
        <v>0.8</v>
      </c>
      <c r="Q133" s="26"/>
      <c r="R133" s="26"/>
      <c r="S133" s="26"/>
      <c r="T133" s="27"/>
      <c r="U133" s="83">
        <f t="shared" si="23"/>
        <v>4.6999999999995454</v>
      </c>
      <c r="V133" s="22"/>
      <c r="W133" s="22"/>
      <c r="X133" s="40"/>
      <c r="Y133" s="22"/>
      <c r="Z133" s="40"/>
      <c r="AA133" s="73"/>
      <c r="AB133" s="73"/>
      <c r="AC133" s="29">
        <f t="shared" si="24"/>
        <v>1</v>
      </c>
      <c r="AD133" s="30">
        <f t="shared" si="25"/>
        <v>1.0999999999999091</v>
      </c>
      <c r="AE133" s="30" t="str">
        <f t="shared" si="26"/>
        <v/>
      </c>
      <c r="AF133" s="2"/>
      <c r="AH133" s="6"/>
    </row>
    <row r="134" spans="1:34" ht="20.25" customHeight="1" x14ac:dyDescent="0.2">
      <c r="A134" s="31">
        <f t="shared" si="38"/>
        <v>44181</v>
      </c>
      <c r="B134" s="32">
        <f t="shared" si="38"/>
        <v>51</v>
      </c>
      <c r="C134" s="62">
        <f t="shared" si="19"/>
        <v>44181</v>
      </c>
      <c r="D134" s="19">
        <v>3</v>
      </c>
      <c r="E134" s="20"/>
      <c r="F134" s="21"/>
      <c r="G134" s="22"/>
      <c r="H134" s="22"/>
      <c r="I134" s="21"/>
      <c r="J134" s="22"/>
      <c r="K134" s="22"/>
      <c r="L134" s="23">
        <f t="shared" si="20"/>
        <v>0</v>
      </c>
      <c r="M134" s="22">
        <f t="shared" si="21"/>
        <v>0</v>
      </c>
      <c r="N134" s="24">
        <v>5</v>
      </c>
      <c r="O134" s="25">
        <v>1</v>
      </c>
      <c r="P134" s="25">
        <f t="shared" si="22"/>
        <v>0</v>
      </c>
      <c r="Q134" s="26"/>
      <c r="R134" s="26"/>
      <c r="S134" s="26"/>
      <c r="T134" s="27"/>
      <c r="U134" s="28">
        <f t="shared" si="23"/>
        <v>0</v>
      </c>
      <c r="V134" s="22"/>
      <c r="W134" s="22"/>
      <c r="X134" s="40"/>
      <c r="Y134" s="22"/>
      <c r="Z134" s="40"/>
      <c r="AA134" s="40"/>
      <c r="AB134" s="40"/>
      <c r="AC134" s="29" t="str">
        <f t="shared" si="24"/>
        <v/>
      </c>
      <c r="AD134" s="30" t="str">
        <f t="shared" si="25"/>
        <v/>
      </c>
      <c r="AE134" s="30" t="str">
        <f t="shared" si="26"/>
        <v/>
      </c>
      <c r="AF134" s="2"/>
      <c r="AH134" s="6"/>
    </row>
    <row r="135" spans="1:34" ht="20.25" customHeight="1" x14ac:dyDescent="0.2">
      <c r="A135" s="31">
        <f t="shared" si="38"/>
        <v>44181</v>
      </c>
      <c r="B135" s="32">
        <f t="shared" si="38"/>
        <v>51</v>
      </c>
      <c r="C135" s="62">
        <f t="shared" si="19"/>
        <v>44181</v>
      </c>
      <c r="D135" s="19">
        <v>4</v>
      </c>
      <c r="E135" s="20"/>
      <c r="F135" s="21"/>
      <c r="G135" s="22"/>
      <c r="H135" s="22"/>
      <c r="I135" s="21"/>
      <c r="J135" s="22"/>
      <c r="K135" s="22"/>
      <c r="L135" s="23">
        <f t="shared" si="20"/>
        <v>0</v>
      </c>
      <c r="M135" s="22">
        <f t="shared" si="21"/>
        <v>0</v>
      </c>
      <c r="N135" s="24">
        <v>5</v>
      </c>
      <c r="O135" s="25">
        <v>1</v>
      </c>
      <c r="P135" s="25">
        <f t="shared" si="22"/>
        <v>0</v>
      </c>
      <c r="Q135" s="26"/>
      <c r="R135" s="26"/>
      <c r="S135" s="26"/>
      <c r="T135" s="27"/>
      <c r="U135" s="28">
        <f t="shared" si="23"/>
        <v>0</v>
      </c>
      <c r="V135" s="22"/>
      <c r="W135" s="22"/>
      <c r="X135" s="40"/>
      <c r="Y135" s="22"/>
      <c r="Z135" s="40"/>
      <c r="AA135" s="40"/>
      <c r="AB135" s="40"/>
      <c r="AC135" s="29" t="str">
        <f t="shared" si="24"/>
        <v/>
      </c>
      <c r="AD135" s="30" t="str">
        <f t="shared" si="25"/>
        <v/>
      </c>
      <c r="AE135" s="30" t="str">
        <f t="shared" si="26"/>
        <v/>
      </c>
      <c r="AF135" s="6">
        <f>+SUM(AD132:AD136)</f>
        <v>1.0999999999999091</v>
      </c>
      <c r="AG135" s="6">
        <f>+SUM(AE131:AE136)</f>
        <v>-2</v>
      </c>
      <c r="AH135" s="6"/>
    </row>
    <row r="136" spans="1:34" ht="20.25" customHeight="1" x14ac:dyDescent="0.2">
      <c r="A136" s="33">
        <f t="shared" si="38"/>
        <v>44181</v>
      </c>
      <c r="B136" s="34">
        <f t="shared" si="38"/>
        <v>51</v>
      </c>
      <c r="C136" s="63">
        <f t="shared" si="19"/>
        <v>44181</v>
      </c>
      <c r="D136" s="19">
        <v>5</v>
      </c>
      <c r="E136" s="20"/>
      <c r="F136" s="21"/>
      <c r="G136" s="22"/>
      <c r="H136" s="22"/>
      <c r="I136" s="21"/>
      <c r="J136" s="22"/>
      <c r="K136" s="22"/>
      <c r="L136" s="23">
        <f t="shared" si="20"/>
        <v>0</v>
      </c>
      <c r="M136" s="22">
        <f t="shared" si="21"/>
        <v>0</v>
      </c>
      <c r="N136" s="24">
        <v>5</v>
      </c>
      <c r="O136" s="25">
        <v>1</v>
      </c>
      <c r="P136" s="25">
        <f t="shared" si="22"/>
        <v>0</v>
      </c>
      <c r="Q136" s="26"/>
      <c r="R136" s="26"/>
      <c r="S136" s="26"/>
      <c r="T136" s="27"/>
      <c r="U136" s="28">
        <f t="shared" si="23"/>
        <v>0</v>
      </c>
      <c r="V136" s="22"/>
      <c r="W136" s="22"/>
      <c r="X136" s="40"/>
      <c r="Y136" s="22"/>
      <c r="Z136" s="40"/>
      <c r="AA136" s="40"/>
      <c r="AB136" s="40"/>
      <c r="AC136" s="29" t="str">
        <f t="shared" si="24"/>
        <v/>
      </c>
      <c r="AD136" s="30" t="str">
        <f t="shared" si="25"/>
        <v/>
      </c>
      <c r="AE136" s="30" t="str">
        <f t="shared" si="26"/>
        <v/>
      </c>
      <c r="AF136" s="7">
        <f>+COUNT(AD132:AD136)</f>
        <v>1</v>
      </c>
      <c r="AG136" s="7">
        <f>+COUNT(AE131:AE136)</f>
        <v>1</v>
      </c>
      <c r="AH136" s="6"/>
    </row>
    <row r="137" spans="1:34" ht="20.25" customHeight="1" x14ac:dyDescent="0.2">
      <c r="A137" s="17">
        <f>+A132+1</f>
        <v>44182</v>
      </c>
      <c r="B137" s="18">
        <f>WEEKNUM(A137,2)</f>
        <v>51</v>
      </c>
      <c r="C137" s="61">
        <f t="shared" si="19"/>
        <v>44182</v>
      </c>
      <c r="D137" s="19">
        <v>1</v>
      </c>
      <c r="E137" s="20" t="s">
        <v>25</v>
      </c>
      <c r="F137" s="21">
        <v>44182.600532407407</v>
      </c>
      <c r="G137" s="22">
        <v>1964.5</v>
      </c>
      <c r="H137" s="22"/>
      <c r="I137" s="21">
        <v>44182.617326388892</v>
      </c>
      <c r="J137" s="22">
        <v>1968.9</v>
      </c>
      <c r="K137" s="22"/>
      <c r="L137" s="23">
        <f t="shared" si="20"/>
        <v>1.6793981485534459E-2</v>
      </c>
      <c r="M137" s="22">
        <f t="shared" si="21"/>
        <v>4.4000000000000909</v>
      </c>
      <c r="N137" s="24">
        <v>5</v>
      </c>
      <c r="O137" s="25">
        <v>1</v>
      </c>
      <c r="P137" s="25">
        <f>+IF(J137&gt;0,O137*0.8,0)</f>
        <v>0.8</v>
      </c>
      <c r="Q137" s="26"/>
      <c r="R137" s="26"/>
      <c r="S137" s="26"/>
      <c r="T137" s="27"/>
      <c r="U137" s="83">
        <f t="shared" si="23"/>
        <v>21.200000000000454</v>
      </c>
      <c r="V137" s="22">
        <f>SUM(U137:U141)</f>
        <v>21.200000000000454</v>
      </c>
      <c r="W137" s="74">
        <f>+Tabla1[[#This Row],[RESULTADO DEL DÍA]]+W132</f>
        <v>2230.8000000000006</v>
      </c>
      <c r="X137" s="22">
        <f>+X132+Tabla1[[#This Row],[Objetivo presupuestado]]</f>
        <v>3050</v>
      </c>
      <c r="Y137" s="22">
        <f>IF(AF137=0,"0",10)</f>
        <v>10</v>
      </c>
      <c r="Z137" s="22">
        <f>IF(AF137=0,"0",50)</f>
        <v>50</v>
      </c>
      <c r="AA137" s="27">
        <f>+IFERROR(AF140/(AG140*-1),AF140)</f>
        <v>4.4000000000000909</v>
      </c>
      <c r="AB137" s="75">
        <f>+IFERROR(AF141/AF137,"0")</f>
        <v>1</v>
      </c>
      <c r="AC137" s="29">
        <f t="shared" si="24"/>
        <v>1</v>
      </c>
      <c r="AD137" s="30">
        <f t="shared" si="25"/>
        <v>4.4000000000000909</v>
      </c>
      <c r="AE137" s="30" t="str">
        <f t="shared" si="26"/>
        <v/>
      </c>
      <c r="AF137" s="9">
        <f>+COUNTIF(AC137:AC141,"1")</f>
        <v>1</v>
      </c>
      <c r="AH137" s="6"/>
    </row>
    <row r="138" spans="1:34" ht="20.25" customHeight="1" x14ac:dyDescent="0.2">
      <c r="A138" s="31">
        <f t="shared" ref="A138:B141" si="39">+A137</f>
        <v>44182</v>
      </c>
      <c r="B138" s="32">
        <f t="shared" si="39"/>
        <v>51</v>
      </c>
      <c r="C138" s="62">
        <f t="shared" si="19"/>
        <v>44182</v>
      </c>
      <c r="D138" s="19">
        <v>2</v>
      </c>
      <c r="E138" s="20"/>
      <c r="F138" s="21"/>
      <c r="G138" s="22"/>
      <c r="H138" s="22"/>
      <c r="I138" s="21"/>
      <c r="J138" s="22"/>
      <c r="K138" s="22"/>
      <c r="L138" s="23">
        <f t="shared" si="20"/>
        <v>0</v>
      </c>
      <c r="M138" s="22">
        <f t="shared" si="21"/>
        <v>0</v>
      </c>
      <c r="N138" s="24">
        <v>5</v>
      </c>
      <c r="O138" s="25">
        <v>1</v>
      </c>
      <c r="P138" s="25">
        <f t="shared" si="22"/>
        <v>0</v>
      </c>
      <c r="Q138" s="26"/>
      <c r="R138" s="26"/>
      <c r="S138" s="26"/>
      <c r="T138" s="27"/>
      <c r="U138" s="28">
        <f t="shared" si="23"/>
        <v>0</v>
      </c>
      <c r="V138" s="22"/>
      <c r="W138" s="22"/>
      <c r="X138" s="40"/>
      <c r="Y138" s="22"/>
      <c r="Z138" s="40"/>
      <c r="AA138" s="73"/>
      <c r="AB138" s="73"/>
      <c r="AC138" s="29" t="str">
        <f t="shared" si="24"/>
        <v/>
      </c>
      <c r="AD138" s="30" t="str">
        <f t="shared" si="25"/>
        <v/>
      </c>
      <c r="AE138" s="30" t="str">
        <f t="shared" si="26"/>
        <v/>
      </c>
      <c r="AF138" s="2"/>
      <c r="AH138" s="6"/>
    </row>
    <row r="139" spans="1:34" ht="20.25" customHeight="1" x14ac:dyDescent="0.2">
      <c r="A139" s="31">
        <f t="shared" si="39"/>
        <v>44182</v>
      </c>
      <c r="B139" s="32">
        <f t="shared" si="39"/>
        <v>51</v>
      </c>
      <c r="C139" s="62">
        <f t="shared" si="19"/>
        <v>44182</v>
      </c>
      <c r="D139" s="19">
        <v>3</v>
      </c>
      <c r="E139" s="20"/>
      <c r="F139" s="21"/>
      <c r="G139" s="22"/>
      <c r="H139" s="22"/>
      <c r="I139" s="21"/>
      <c r="J139" s="22"/>
      <c r="K139" s="22"/>
      <c r="L139" s="23">
        <f t="shared" si="20"/>
        <v>0</v>
      </c>
      <c r="M139" s="22">
        <f t="shared" si="21"/>
        <v>0</v>
      </c>
      <c r="N139" s="24">
        <v>5</v>
      </c>
      <c r="O139" s="25">
        <v>1</v>
      </c>
      <c r="P139" s="25">
        <f t="shared" si="22"/>
        <v>0</v>
      </c>
      <c r="Q139" s="26"/>
      <c r="R139" s="26"/>
      <c r="S139" s="26"/>
      <c r="T139" s="27"/>
      <c r="U139" s="28">
        <f t="shared" si="23"/>
        <v>0</v>
      </c>
      <c r="V139" s="22"/>
      <c r="W139" s="22"/>
      <c r="X139" s="40"/>
      <c r="Y139" s="22"/>
      <c r="Z139" s="40"/>
      <c r="AA139" s="40"/>
      <c r="AB139" s="40"/>
      <c r="AC139" s="29" t="str">
        <f t="shared" si="24"/>
        <v/>
      </c>
      <c r="AD139" s="30" t="str">
        <f t="shared" si="25"/>
        <v/>
      </c>
      <c r="AE139" s="30" t="str">
        <f t="shared" si="26"/>
        <v/>
      </c>
      <c r="AF139" s="2"/>
      <c r="AH139" s="6"/>
    </row>
    <row r="140" spans="1:34" ht="20.25" customHeight="1" x14ac:dyDescent="0.2">
      <c r="A140" s="31">
        <f t="shared" si="39"/>
        <v>44182</v>
      </c>
      <c r="B140" s="32">
        <f t="shared" si="39"/>
        <v>51</v>
      </c>
      <c r="C140" s="62">
        <f t="shared" si="19"/>
        <v>44182</v>
      </c>
      <c r="D140" s="19">
        <v>4</v>
      </c>
      <c r="E140" s="20"/>
      <c r="F140" s="21"/>
      <c r="G140" s="22"/>
      <c r="H140" s="22"/>
      <c r="I140" s="21"/>
      <c r="J140" s="22"/>
      <c r="K140" s="22"/>
      <c r="L140" s="23">
        <f t="shared" si="20"/>
        <v>0</v>
      </c>
      <c r="M140" s="22">
        <f t="shared" si="21"/>
        <v>0</v>
      </c>
      <c r="N140" s="24">
        <v>5</v>
      </c>
      <c r="O140" s="25">
        <v>1</v>
      </c>
      <c r="P140" s="25">
        <f t="shared" si="22"/>
        <v>0</v>
      </c>
      <c r="Q140" s="26"/>
      <c r="R140" s="26"/>
      <c r="S140" s="26"/>
      <c r="T140" s="27"/>
      <c r="U140" s="28">
        <f t="shared" si="23"/>
        <v>0</v>
      </c>
      <c r="V140" s="22"/>
      <c r="W140" s="22"/>
      <c r="X140" s="40"/>
      <c r="Y140" s="22"/>
      <c r="Z140" s="40"/>
      <c r="AA140" s="40"/>
      <c r="AB140" s="40"/>
      <c r="AC140" s="29" t="str">
        <f t="shared" si="24"/>
        <v/>
      </c>
      <c r="AD140" s="30" t="str">
        <f t="shared" si="25"/>
        <v/>
      </c>
      <c r="AE140" s="30" t="str">
        <f t="shared" si="26"/>
        <v/>
      </c>
      <c r="AF140" s="6">
        <f>+SUM(AD137:AD141)</f>
        <v>4.4000000000000909</v>
      </c>
      <c r="AG140" s="6">
        <f>+SUM(AE136:AE141)</f>
        <v>0</v>
      </c>
      <c r="AH140" s="6"/>
    </row>
    <row r="141" spans="1:34" ht="20.25" customHeight="1" x14ac:dyDescent="0.2">
      <c r="A141" s="33">
        <f t="shared" si="39"/>
        <v>44182</v>
      </c>
      <c r="B141" s="34">
        <f t="shared" si="39"/>
        <v>51</v>
      </c>
      <c r="C141" s="63">
        <f t="shared" si="19"/>
        <v>44182</v>
      </c>
      <c r="D141" s="19">
        <v>5</v>
      </c>
      <c r="E141" s="20"/>
      <c r="F141" s="21"/>
      <c r="G141" s="22"/>
      <c r="H141" s="22"/>
      <c r="I141" s="21"/>
      <c r="J141" s="22"/>
      <c r="K141" s="22"/>
      <c r="L141" s="23">
        <f t="shared" si="20"/>
        <v>0</v>
      </c>
      <c r="M141" s="22">
        <f t="shared" si="21"/>
        <v>0</v>
      </c>
      <c r="N141" s="24">
        <v>5</v>
      </c>
      <c r="O141" s="25">
        <v>1</v>
      </c>
      <c r="P141" s="25">
        <f t="shared" si="22"/>
        <v>0</v>
      </c>
      <c r="Q141" s="26"/>
      <c r="R141" s="26"/>
      <c r="S141" s="26"/>
      <c r="T141" s="27"/>
      <c r="U141" s="28">
        <f t="shared" si="23"/>
        <v>0</v>
      </c>
      <c r="V141" s="22"/>
      <c r="W141" s="22"/>
      <c r="X141" s="40"/>
      <c r="Y141" s="22"/>
      <c r="Z141" s="40"/>
      <c r="AA141" s="40"/>
      <c r="AB141" s="40"/>
      <c r="AC141" s="29" t="str">
        <f t="shared" si="24"/>
        <v/>
      </c>
      <c r="AD141" s="30" t="str">
        <f t="shared" si="25"/>
        <v/>
      </c>
      <c r="AE141" s="30" t="str">
        <f t="shared" si="26"/>
        <v/>
      </c>
      <c r="AF141" s="7">
        <f>+COUNT(AD137:AD141)</f>
        <v>1</v>
      </c>
      <c r="AG141" s="7">
        <f>+COUNT(AE136:AE141)</f>
        <v>0</v>
      </c>
      <c r="AH141" s="6"/>
    </row>
    <row r="142" spans="1:34" ht="20.25" customHeight="1" x14ac:dyDescent="0.2">
      <c r="A142" s="17">
        <f>+A137+1</f>
        <v>44183</v>
      </c>
      <c r="B142" s="18">
        <f>WEEKNUM(A142,2)</f>
        <v>51</v>
      </c>
      <c r="C142" s="61">
        <f t="shared" si="19"/>
        <v>44183</v>
      </c>
      <c r="D142" s="19">
        <v>1</v>
      </c>
      <c r="E142" s="20" t="s">
        <v>25</v>
      </c>
      <c r="F142" s="21">
        <v>44183.591122685182</v>
      </c>
      <c r="G142" s="22">
        <v>1984.7</v>
      </c>
      <c r="H142" s="22"/>
      <c r="I142" s="21">
        <v>44183.605416666665</v>
      </c>
      <c r="J142" s="22">
        <v>1988.2</v>
      </c>
      <c r="K142" s="22"/>
      <c r="L142" s="23">
        <f t="shared" si="20"/>
        <v>1.4293981483206153E-2</v>
      </c>
      <c r="M142" s="22">
        <f t="shared" si="21"/>
        <v>3.5</v>
      </c>
      <c r="N142" s="24">
        <v>5</v>
      </c>
      <c r="O142" s="25">
        <v>1</v>
      </c>
      <c r="P142" s="25">
        <f>+IF(J142&gt;0,O142*0.8,0)</f>
        <v>0.8</v>
      </c>
      <c r="Q142" s="26"/>
      <c r="R142" s="26"/>
      <c r="S142" s="26"/>
      <c r="T142" s="27"/>
      <c r="U142" s="83">
        <f t="shared" si="23"/>
        <v>16.7</v>
      </c>
      <c r="V142" s="22">
        <f>SUM(U142:U146)</f>
        <v>16.7</v>
      </c>
      <c r="W142" s="74">
        <f>+Tabla1[[#This Row],[RESULTADO DEL DÍA]]+W137</f>
        <v>2247.5000000000005</v>
      </c>
      <c r="X142" s="22">
        <f>+X137+Tabla1[[#This Row],[Objetivo presupuestado]]</f>
        <v>3100</v>
      </c>
      <c r="Y142" s="22">
        <f>IF(AF142=0,"0",10)</f>
        <v>10</v>
      </c>
      <c r="Z142" s="22">
        <f>IF(AF142=0,"0",50)</f>
        <v>50</v>
      </c>
      <c r="AA142" s="27">
        <f>+IFERROR(AF145/(AG145*-1),AF145)</f>
        <v>3.5</v>
      </c>
      <c r="AB142" s="75">
        <f>+IFERROR(AF146/AF142,"0")</f>
        <v>1</v>
      </c>
      <c r="AC142" s="29">
        <f t="shared" si="24"/>
        <v>1</v>
      </c>
      <c r="AD142" s="30">
        <f t="shared" si="25"/>
        <v>3.5</v>
      </c>
      <c r="AE142" s="30" t="str">
        <f t="shared" si="26"/>
        <v/>
      </c>
      <c r="AF142" s="9">
        <f>+COUNTIF(AC142:AC146,"1")</f>
        <v>1</v>
      </c>
      <c r="AH142" s="7"/>
    </row>
    <row r="143" spans="1:34" ht="20.25" customHeight="1" x14ac:dyDescent="0.2">
      <c r="A143" s="31">
        <f t="shared" ref="A143:B146" si="40">+A142</f>
        <v>44183</v>
      </c>
      <c r="B143" s="32">
        <f t="shared" si="40"/>
        <v>51</v>
      </c>
      <c r="C143" s="62">
        <f t="shared" si="19"/>
        <v>44183</v>
      </c>
      <c r="D143" s="19">
        <v>2</v>
      </c>
      <c r="E143" s="20"/>
      <c r="F143" s="21"/>
      <c r="G143" s="22"/>
      <c r="H143" s="22"/>
      <c r="I143" s="21"/>
      <c r="J143" s="22"/>
      <c r="K143" s="22"/>
      <c r="L143" s="23">
        <f t="shared" si="20"/>
        <v>0</v>
      </c>
      <c r="M143" s="22">
        <f t="shared" si="21"/>
        <v>0</v>
      </c>
      <c r="N143" s="24">
        <v>5</v>
      </c>
      <c r="O143" s="25">
        <v>1</v>
      </c>
      <c r="P143" s="25">
        <f t="shared" si="22"/>
        <v>0</v>
      </c>
      <c r="Q143" s="26"/>
      <c r="R143" s="26"/>
      <c r="S143" s="26"/>
      <c r="T143" s="27"/>
      <c r="U143" s="28">
        <f t="shared" si="23"/>
        <v>0</v>
      </c>
      <c r="V143" s="22"/>
      <c r="W143" s="22"/>
      <c r="X143" s="40"/>
      <c r="Y143" s="22"/>
      <c r="Z143" s="40"/>
      <c r="AA143" s="73"/>
      <c r="AB143" s="73"/>
      <c r="AC143" s="29" t="str">
        <f t="shared" si="24"/>
        <v/>
      </c>
      <c r="AD143" s="30" t="str">
        <f t="shared" si="25"/>
        <v/>
      </c>
      <c r="AE143" s="30" t="str">
        <f t="shared" si="26"/>
        <v/>
      </c>
      <c r="AF143" s="2"/>
    </row>
    <row r="144" spans="1:34" ht="20.25" customHeight="1" x14ac:dyDescent="0.2">
      <c r="A144" s="31">
        <f t="shared" si="40"/>
        <v>44183</v>
      </c>
      <c r="B144" s="32">
        <f t="shared" si="40"/>
        <v>51</v>
      </c>
      <c r="C144" s="62">
        <f t="shared" si="19"/>
        <v>44183</v>
      </c>
      <c r="D144" s="19">
        <v>3</v>
      </c>
      <c r="E144" s="20"/>
      <c r="F144" s="21"/>
      <c r="G144" s="22"/>
      <c r="H144" s="22"/>
      <c r="I144" s="21"/>
      <c r="J144" s="22"/>
      <c r="K144" s="22"/>
      <c r="L144" s="23">
        <f t="shared" si="20"/>
        <v>0</v>
      </c>
      <c r="M144" s="22">
        <f t="shared" si="21"/>
        <v>0</v>
      </c>
      <c r="N144" s="24">
        <v>5</v>
      </c>
      <c r="O144" s="25">
        <v>1</v>
      </c>
      <c r="P144" s="25">
        <f t="shared" si="22"/>
        <v>0</v>
      </c>
      <c r="Q144" s="26"/>
      <c r="R144" s="26"/>
      <c r="S144" s="26"/>
      <c r="T144" s="27"/>
      <c r="U144" s="28">
        <f t="shared" si="23"/>
        <v>0</v>
      </c>
      <c r="V144" s="22"/>
      <c r="W144" s="22"/>
      <c r="X144" s="40"/>
      <c r="Y144" s="22"/>
      <c r="Z144" s="40"/>
      <c r="AA144" s="40"/>
      <c r="AB144" s="40"/>
      <c r="AC144" s="29" t="str">
        <f t="shared" si="24"/>
        <v/>
      </c>
      <c r="AD144" s="30" t="str">
        <f t="shared" si="25"/>
        <v/>
      </c>
      <c r="AE144" s="30" t="str">
        <f t="shared" si="26"/>
        <v/>
      </c>
      <c r="AF144" s="2"/>
    </row>
    <row r="145" spans="1:33" ht="20.25" customHeight="1" x14ac:dyDescent="0.2">
      <c r="A145" s="31">
        <f t="shared" si="40"/>
        <v>44183</v>
      </c>
      <c r="B145" s="32">
        <f t="shared" si="40"/>
        <v>51</v>
      </c>
      <c r="C145" s="62">
        <f t="shared" ref="C145:C149" si="41">+A145</f>
        <v>44183</v>
      </c>
      <c r="D145" s="19">
        <v>4</v>
      </c>
      <c r="E145" s="20"/>
      <c r="F145" s="21"/>
      <c r="G145" s="22"/>
      <c r="H145" s="22"/>
      <c r="I145" s="21"/>
      <c r="J145" s="22"/>
      <c r="K145" s="22"/>
      <c r="L145" s="23">
        <f t="shared" ref="L145:L149" si="42">+I145-F145</f>
        <v>0</v>
      </c>
      <c r="M145" s="22">
        <f t="shared" ref="M145:M149" si="43">+IF(E145="buy",J145-G145,G145-J145)</f>
        <v>0</v>
      </c>
      <c r="N145" s="24">
        <v>5</v>
      </c>
      <c r="O145" s="25">
        <v>1</v>
      </c>
      <c r="P145" s="25">
        <f t="shared" ref="P145:P146" si="44">+IF(J145&gt;0,O145*1,0)</f>
        <v>0</v>
      </c>
      <c r="Q145" s="26"/>
      <c r="R145" s="26"/>
      <c r="S145" s="26"/>
      <c r="T145" s="27"/>
      <c r="U145" s="28">
        <f t="shared" ref="U145:U149" si="45">+O145*N145*M145-P145</f>
        <v>0</v>
      </c>
      <c r="V145" s="22"/>
      <c r="W145" s="22"/>
      <c r="X145" s="40"/>
      <c r="Y145" s="22"/>
      <c r="Z145" s="40"/>
      <c r="AA145" s="40"/>
      <c r="AB145" s="40"/>
      <c r="AC145" s="29" t="str">
        <f t="shared" ref="AC145:AC151" si="46">+IF(G145&gt;0,1,"")</f>
        <v/>
      </c>
      <c r="AD145" s="30" t="str">
        <f t="shared" ref="AD145:AD151" si="47">+IF(M145&gt;0,M145,"")</f>
        <v/>
      </c>
      <c r="AE145" s="30" t="str">
        <f t="shared" ref="AE145:AE151" si="48">+IF(M145&lt;0,M145,"")</f>
        <v/>
      </c>
      <c r="AF145" s="6">
        <f>+SUM(AD142:AD146)</f>
        <v>3.5</v>
      </c>
      <c r="AG145" s="6">
        <f>+SUM(AE141:AE146)</f>
        <v>0</v>
      </c>
    </row>
    <row r="146" spans="1:33" ht="20.25" customHeight="1" x14ac:dyDescent="0.2">
      <c r="A146" s="33">
        <f t="shared" si="40"/>
        <v>44183</v>
      </c>
      <c r="B146" s="34">
        <f t="shared" si="40"/>
        <v>51</v>
      </c>
      <c r="C146" s="63">
        <f t="shared" si="41"/>
        <v>44183</v>
      </c>
      <c r="D146" s="19">
        <v>5</v>
      </c>
      <c r="E146" s="20"/>
      <c r="F146" s="21"/>
      <c r="G146" s="22"/>
      <c r="H146" s="22"/>
      <c r="I146" s="21"/>
      <c r="J146" s="22"/>
      <c r="K146" s="22"/>
      <c r="L146" s="23">
        <f t="shared" si="42"/>
        <v>0</v>
      </c>
      <c r="M146" s="22">
        <f t="shared" si="43"/>
        <v>0</v>
      </c>
      <c r="N146" s="24">
        <v>5</v>
      </c>
      <c r="O146" s="25">
        <v>1</v>
      </c>
      <c r="P146" s="25">
        <f t="shared" si="44"/>
        <v>0</v>
      </c>
      <c r="Q146" s="26"/>
      <c r="R146" s="26"/>
      <c r="S146" s="26"/>
      <c r="T146" s="27"/>
      <c r="U146" s="28">
        <f t="shared" si="45"/>
        <v>0</v>
      </c>
      <c r="V146" s="22"/>
      <c r="W146" s="22"/>
      <c r="X146" s="40"/>
      <c r="Y146" s="22"/>
      <c r="Z146" s="40"/>
      <c r="AA146" s="40"/>
      <c r="AB146" s="40"/>
      <c r="AC146" s="29" t="str">
        <f t="shared" si="46"/>
        <v/>
      </c>
      <c r="AD146" s="30" t="str">
        <f t="shared" si="47"/>
        <v/>
      </c>
      <c r="AE146" s="30" t="str">
        <f t="shared" si="48"/>
        <v/>
      </c>
      <c r="AF146" s="7">
        <f>+COUNT(AD142:AD146)</f>
        <v>1</v>
      </c>
      <c r="AG146" s="7">
        <f>+COUNT(AE141:AE146)</f>
        <v>0</v>
      </c>
    </row>
    <row r="147" spans="1:33" ht="20.25" customHeight="1" x14ac:dyDescent="0.2">
      <c r="A147" s="17">
        <f t="shared" ref="A147" si="49">+A142+1</f>
        <v>44184</v>
      </c>
      <c r="B147" s="18">
        <f t="shared" ref="B147" si="50">WEEKNUM(A147,2)</f>
        <v>51</v>
      </c>
      <c r="C147" s="61">
        <f t="shared" si="41"/>
        <v>44184</v>
      </c>
      <c r="D147" s="19">
        <v>6</v>
      </c>
      <c r="E147" s="20" t="s">
        <v>25</v>
      </c>
      <c r="F147" s="21">
        <v>44183.632789351803</v>
      </c>
      <c r="G147" s="22">
        <v>1985.7</v>
      </c>
      <c r="H147" s="22"/>
      <c r="I147" s="21">
        <v>44183.647083333301</v>
      </c>
      <c r="J147" s="22">
        <v>1989.2</v>
      </c>
      <c r="K147" s="22"/>
      <c r="L147" s="23">
        <f t="shared" si="42"/>
        <v>1.4293981497758068E-2</v>
      </c>
      <c r="M147" s="22">
        <f t="shared" si="43"/>
        <v>3.5</v>
      </c>
      <c r="N147" s="24">
        <v>5</v>
      </c>
      <c r="O147" s="25">
        <v>1</v>
      </c>
      <c r="P147" s="25">
        <f t="shared" ref="P147" si="51">+IF(J147&gt;0,O147*0.8,0)</f>
        <v>0.8</v>
      </c>
      <c r="Q147" s="26"/>
      <c r="R147" s="26"/>
      <c r="S147" s="26"/>
      <c r="T147" s="27"/>
      <c r="U147" s="83">
        <f t="shared" si="45"/>
        <v>16.7</v>
      </c>
      <c r="V147" s="22">
        <f t="shared" ref="V147" si="52">SUM(U147:U151)</f>
        <v>16.7</v>
      </c>
      <c r="W147" s="74">
        <f>+Tabla1[[#This Row],[RESULTADO DEL DÍA]]+W142</f>
        <v>2264.2000000000003</v>
      </c>
      <c r="X147" s="22">
        <f>+X142+Tabla1[[#This Row],[Objetivo presupuestado]]</f>
        <v>3150</v>
      </c>
      <c r="Y147" s="22">
        <f t="shared" ref="Y147" si="53">IF(AF147=0,"0",10)</f>
        <v>10</v>
      </c>
      <c r="Z147" s="22">
        <f t="shared" ref="Z147" si="54">IF(AF147=0,"0",50)</f>
        <v>50</v>
      </c>
      <c r="AA147" s="27">
        <f t="shared" ref="AA147" si="55">+IFERROR(AF150/(AG150*-1),AF150)</f>
        <v>3.5</v>
      </c>
      <c r="AB147" s="75">
        <f t="shared" ref="AB147" si="56">+IFERROR(AF151/AF147,"0")</f>
        <v>1</v>
      </c>
      <c r="AC147" s="29">
        <f t="shared" si="46"/>
        <v>1</v>
      </c>
      <c r="AD147" s="30">
        <f t="shared" si="47"/>
        <v>3.5</v>
      </c>
      <c r="AE147" s="30" t="str">
        <f t="shared" si="48"/>
        <v/>
      </c>
      <c r="AF147" s="9">
        <f>+COUNTIF(AC147:AC151,"1")</f>
        <v>1</v>
      </c>
    </row>
    <row r="148" spans="1:33" ht="20.25" customHeight="1" x14ac:dyDescent="0.2">
      <c r="A148" s="31">
        <f t="shared" ref="A148:B148" si="57">+A147</f>
        <v>44184</v>
      </c>
      <c r="B148" s="32">
        <f t="shared" si="57"/>
        <v>51</v>
      </c>
      <c r="C148" s="62">
        <f t="shared" si="41"/>
        <v>44184</v>
      </c>
      <c r="D148" s="19">
        <v>7</v>
      </c>
      <c r="E148" s="20"/>
      <c r="F148" s="21"/>
      <c r="G148" s="22"/>
      <c r="H148" s="22"/>
      <c r="I148" s="21"/>
      <c r="J148" s="22"/>
      <c r="K148" s="22"/>
      <c r="L148" s="23">
        <f t="shared" si="42"/>
        <v>0</v>
      </c>
      <c r="M148" s="22">
        <f t="shared" si="43"/>
        <v>0</v>
      </c>
      <c r="N148" s="24">
        <v>5</v>
      </c>
      <c r="O148" s="25">
        <v>1</v>
      </c>
      <c r="P148" s="25">
        <f t="shared" ref="P148:P151" si="58">+IF(J148&gt;0,O148*1,0)</f>
        <v>0</v>
      </c>
      <c r="Q148" s="26"/>
      <c r="R148" s="26"/>
      <c r="S148" s="26"/>
      <c r="T148" s="27"/>
      <c r="U148" s="28">
        <f t="shared" si="45"/>
        <v>0</v>
      </c>
      <c r="V148" s="22"/>
      <c r="W148" s="22"/>
      <c r="X148" s="40"/>
      <c r="Y148" s="22"/>
      <c r="Z148" s="40"/>
      <c r="AA148" s="73"/>
      <c r="AB148" s="73"/>
      <c r="AC148" s="29" t="str">
        <f t="shared" si="46"/>
        <v/>
      </c>
      <c r="AD148" s="30" t="str">
        <f t="shared" si="47"/>
        <v/>
      </c>
      <c r="AE148" s="30" t="str">
        <f t="shared" si="48"/>
        <v/>
      </c>
      <c r="AF148" s="2"/>
    </row>
    <row r="149" spans="1:33" ht="20.25" customHeight="1" x14ac:dyDescent="0.2">
      <c r="A149" s="31">
        <f t="shared" ref="A149:B149" si="59">+A148</f>
        <v>44184</v>
      </c>
      <c r="B149" s="32">
        <f t="shared" si="59"/>
        <v>51</v>
      </c>
      <c r="C149" s="62">
        <f t="shared" si="41"/>
        <v>44184</v>
      </c>
      <c r="D149" s="19">
        <v>8</v>
      </c>
      <c r="E149" s="20"/>
      <c r="F149" s="21"/>
      <c r="G149" s="22"/>
      <c r="H149" s="22"/>
      <c r="I149" s="21"/>
      <c r="J149" s="22"/>
      <c r="K149" s="22"/>
      <c r="L149" s="23">
        <f t="shared" si="42"/>
        <v>0</v>
      </c>
      <c r="M149" s="22">
        <f t="shared" si="43"/>
        <v>0</v>
      </c>
      <c r="N149" s="24">
        <v>5</v>
      </c>
      <c r="O149" s="25">
        <v>1</v>
      </c>
      <c r="P149" s="25">
        <f t="shared" si="58"/>
        <v>0</v>
      </c>
      <c r="Q149" s="26"/>
      <c r="R149" s="26"/>
      <c r="S149" s="26"/>
      <c r="T149" s="27"/>
      <c r="U149" s="28">
        <f t="shared" si="45"/>
        <v>0</v>
      </c>
      <c r="V149" s="22"/>
      <c r="W149" s="22"/>
      <c r="X149" s="40"/>
      <c r="Y149" s="22"/>
      <c r="Z149" s="40"/>
      <c r="AA149" s="40"/>
      <c r="AB149" s="40"/>
      <c r="AC149" s="29" t="str">
        <f t="shared" si="46"/>
        <v/>
      </c>
      <c r="AD149" s="30" t="str">
        <f t="shared" si="47"/>
        <v/>
      </c>
      <c r="AE149" s="30" t="str">
        <f t="shared" si="48"/>
        <v/>
      </c>
      <c r="AF149" s="2"/>
    </row>
    <row r="150" spans="1:33" ht="20.25" customHeight="1" x14ac:dyDescent="0.2">
      <c r="A150" s="31">
        <f t="shared" ref="A150:B150" si="60">+A149</f>
        <v>44184</v>
      </c>
      <c r="B150" s="32">
        <f t="shared" si="60"/>
        <v>51</v>
      </c>
      <c r="C150" s="62">
        <f t="shared" ref="C150:C213" si="61">+A150</f>
        <v>44184</v>
      </c>
      <c r="D150" s="19">
        <v>9</v>
      </c>
      <c r="E150" s="20"/>
      <c r="F150" s="21"/>
      <c r="G150" s="22"/>
      <c r="H150" s="22"/>
      <c r="I150" s="21"/>
      <c r="J150" s="22"/>
      <c r="K150" s="22"/>
      <c r="L150" s="23">
        <f t="shared" ref="L150:L213" si="62">+I150-F150</f>
        <v>0</v>
      </c>
      <c r="M150" s="22">
        <f t="shared" ref="M150:M213" si="63">+IF(E150="buy",J150-G150,G150-J150)</f>
        <v>0</v>
      </c>
      <c r="N150" s="24">
        <v>5</v>
      </c>
      <c r="O150" s="25">
        <v>1</v>
      </c>
      <c r="P150" s="25">
        <f t="shared" si="58"/>
        <v>0</v>
      </c>
      <c r="Q150" s="26"/>
      <c r="R150" s="26"/>
      <c r="S150" s="26"/>
      <c r="T150" s="27"/>
      <c r="U150" s="28">
        <f t="shared" ref="U150:U213" si="64">+O150*N150*M150-P150</f>
        <v>0</v>
      </c>
      <c r="V150" s="22"/>
      <c r="W150" s="22"/>
      <c r="X150" s="40"/>
      <c r="Y150" s="22"/>
      <c r="Z150" s="40"/>
      <c r="AA150" s="40"/>
      <c r="AB150" s="40"/>
      <c r="AC150" s="29" t="str">
        <f t="shared" si="46"/>
        <v/>
      </c>
      <c r="AD150" s="30" t="str">
        <f t="shared" si="47"/>
        <v/>
      </c>
      <c r="AE150" s="30" t="str">
        <f t="shared" si="48"/>
        <v/>
      </c>
      <c r="AF150" s="6">
        <f>+SUM(AD147:AD151)</f>
        <v>3.5</v>
      </c>
      <c r="AG150" s="6">
        <f>+SUM(AE146:AE151)</f>
        <v>0</v>
      </c>
    </row>
    <row r="151" spans="1:33" ht="20.25" customHeight="1" x14ac:dyDescent="0.2">
      <c r="A151" s="33">
        <f t="shared" ref="A151:B151" si="65">+A150</f>
        <v>44184</v>
      </c>
      <c r="B151" s="34">
        <f t="shared" si="65"/>
        <v>51</v>
      </c>
      <c r="C151" s="63">
        <f t="shared" si="61"/>
        <v>44184</v>
      </c>
      <c r="D151" s="19">
        <v>10</v>
      </c>
      <c r="E151" s="20"/>
      <c r="F151" s="21"/>
      <c r="G151" s="22"/>
      <c r="H151" s="22"/>
      <c r="I151" s="21"/>
      <c r="J151" s="22"/>
      <c r="K151" s="22"/>
      <c r="L151" s="23">
        <f t="shared" si="62"/>
        <v>0</v>
      </c>
      <c r="M151" s="22">
        <f t="shared" si="63"/>
        <v>0</v>
      </c>
      <c r="N151" s="24">
        <v>5</v>
      </c>
      <c r="O151" s="25">
        <v>1</v>
      </c>
      <c r="P151" s="25">
        <f t="shared" si="58"/>
        <v>0</v>
      </c>
      <c r="Q151" s="26"/>
      <c r="R151" s="26"/>
      <c r="S151" s="26"/>
      <c r="T151" s="27"/>
      <c r="U151" s="28">
        <f t="shared" si="64"/>
        <v>0</v>
      </c>
      <c r="V151" s="22"/>
      <c r="W151" s="22"/>
      <c r="X151" s="40"/>
      <c r="Y151" s="22"/>
      <c r="Z151" s="40"/>
      <c r="AA151" s="40"/>
      <c r="AB151" s="40"/>
      <c r="AC151" s="29" t="str">
        <f t="shared" si="46"/>
        <v/>
      </c>
      <c r="AD151" s="30" t="str">
        <f t="shared" si="47"/>
        <v/>
      </c>
      <c r="AE151" s="30" t="str">
        <f t="shared" si="48"/>
        <v/>
      </c>
      <c r="AF151" s="7">
        <f>+COUNT(AD147:AD151)</f>
        <v>1</v>
      </c>
      <c r="AG151" s="7">
        <f>+COUNT(AE146:AE151)</f>
        <v>0</v>
      </c>
    </row>
    <row r="152" spans="1:33" ht="14.25" customHeight="1" x14ac:dyDescent="0.2">
      <c r="A152" s="17">
        <f t="shared" ref="A152" si="66">+A147+1</f>
        <v>44185</v>
      </c>
      <c r="B152" s="18">
        <f t="shared" ref="B152" si="67">WEEKNUM(A152,2)</f>
        <v>51</v>
      </c>
      <c r="C152" s="61">
        <f t="shared" si="61"/>
        <v>44185</v>
      </c>
      <c r="D152" s="19">
        <v>11</v>
      </c>
      <c r="E152" s="20" t="s">
        <v>25</v>
      </c>
      <c r="F152" s="21">
        <v>44183.674456018503</v>
      </c>
      <c r="G152" s="22">
        <v>1986.7</v>
      </c>
      <c r="H152" s="22"/>
      <c r="I152" s="21">
        <v>44183.688750000001</v>
      </c>
      <c r="J152" s="22">
        <v>1990.2</v>
      </c>
      <c r="K152" s="22"/>
      <c r="L152" s="23">
        <f t="shared" si="62"/>
        <v>1.4293981497758068E-2</v>
      </c>
      <c r="M152" s="22">
        <f t="shared" si="63"/>
        <v>3.5</v>
      </c>
      <c r="N152" s="24">
        <v>5</v>
      </c>
      <c r="O152" s="25">
        <v>1</v>
      </c>
      <c r="P152" s="25">
        <f t="shared" ref="P152" si="68">+IF(J152&gt;0,O152*0.8,0)</f>
        <v>0.8</v>
      </c>
      <c r="Q152" s="26"/>
      <c r="R152" s="26"/>
      <c r="S152" s="26"/>
      <c r="T152" s="27"/>
      <c r="U152" s="83">
        <f t="shared" si="64"/>
        <v>16.7</v>
      </c>
      <c r="V152" s="22">
        <f t="shared" ref="V152" si="69">SUM(U152:U156)</f>
        <v>16.7</v>
      </c>
      <c r="W152" s="74">
        <f>+Tabla1[[#This Row],[RESULTADO DEL DÍA]]+W147</f>
        <v>2280.9</v>
      </c>
      <c r="X152" s="22">
        <f>+X147+Tabla1[[#This Row],[Objetivo presupuestado]]</f>
        <v>3150</v>
      </c>
      <c r="Y152" s="22" t="str">
        <f t="shared" ref="Y152" si="70">IF(AF152=0,"0",10)</f>
        <v>0</v>
      </c>
      <c r="Z152" s="22" t="str">
        <f t="shared" ref="Z152" si="71">IF(AF152=0,"0",50)</f>
        <v>0</v>
      </c>
      <c r="AA152" s="27">
        <f t="shared" ref="AA152" si="72">+IFERROR(AF155/(AG155*-1),AF155)</f>
        <v>0</v>
      </c>
      <c r="AB152" s="75" t="str">
        <f t="shared" ref="AB152" si="73">+IFERROR(AF156/AF152,"0")</f>
        <v>0</v>
      </c>
      <c r="AC152" s="81">
        <f t="shared" ref="AC152:AC156" si="74">+IF(J152&gt;0,1,"")</f>
        <v>1</v>
      </c>
      <c r="AD152" s="82">
        <f t="shared" ref="AD152:AD156" si="75">+IF(M152&gt;0,M152,"")</f>
        <v>3.5</v>
      </c>
      <c r="AE152" s="82" t="str">
        <f t="shared" ref="AE152:AE156" si="76">+IF(M152&lt;0,M152,"")</f>
        <v/>
      </c>
    </row>
    <row r="153" spans="1:33" ht="14.25" customHeight="1" x14ac:dyDescent="0.2">
      <c r="A153" s="31">
        <f t="shared" ref="A153:B153" si="77">+A152</f>
        <v>44185</v>
      </c>
      <c r="B153" s="32">
        <f t="shared" si="77"/>
        <v>51</v>
      </c>
      <c r="C153" s="62">
        <f t="shared" si="61"/>
        <v>44185</v>
      </c>
      <c r="D153" s="19">
        <v>12</v>
      </c>
      <c r="E153" s="20"/>
      <c r="F153" s="21"/>
      <c r="G153" s="22"/>
      <c r="H153" s="22"/>
      <c r="I153" s="21"/>
      <c r="J153" s="22"/>
      <c r="K153" s="22"/>
      <c r="L153" s="23">
        <f t="shared" si="62"/>
        <v>0</v>
      </c>
      <c r="M153" s="22">
        <f t="shared" si="63"/>
        <v>0</v>
      </c>
      <c r="N153" s="24">
        <v>5</v>
      </c>
      <c r="O153" s="25">
        <v>1</v>
      </c>
      <c r="P153" s="25">
        <f t="shared" ref="P153:P156" si="78">+IF(J153&gt;0,O153*1,0)</f>
        <v>0</v>
      </c>
      <c r="Q153" s="26"/>
      <c r="R153" s="26"/>
      <c r="S153" s="26"/>
      <c r="T153" s="27"/>
      <c r="U153" s="28">
        <f t="shared" si="64"/>
        <v>0</v>
      </c>
      <c r="V153" s="22"/>
      <c r="W153" s="22"/>
      <c r="X153" s="40"/>
      <c r="Y153" s="22"/>
      <c r="Z153" s="40"/>
      <c r="AA153" s="73"/>
      <c r="AB153" s="73"/>
      <c r="AC153" s="81" t="str">
        <f t="shared" si="74"/>
        <v/>
      </c>
      <c r="AD153" s="82" t="str">
        <f t="shared" si="75"/>
        <v/>
      </c>
      <c r="AE153" s="82" t="str">
        <f t="shared" si="76"/>
        <v/>
      </c>
    </row>
    <row r="154" spans="1:33" ht="14.25" customHeight="1" x14ac:dyDescent="0.2">
      <c r="A154" s="31">
        <f t="shared" ref="A154:B154" si="79">+A153</f>
        <v>44185</v>
      </c>
      <c r="B154" s="32">
        <f t="shared" si="79"/>
        <v>51</v>
      </c>
      <c r="C154" s="62">
        <f t="shared" si="61"/>
        <v>44185</v>
      </c>
      <c r="D154" s="19">
        <v>13</v>
      </c>
      <c r="E154" s="20"/>
      <c r="F154" s="21"/>
      <c r="G154" s="22"/>
      <c r="H154" s="22"/>
      <c r="I154" s="21"/>
      <c r="J154" s="22"/>
      <c r="K154" s="22"/>
      <c r="L154" s="23">
        <f t="shared" si="62"/>
        <v>0</v>
      </c>
      <c r="M154" s="22">
        <f t="shared" si="63"/>
        <v>0</v>
      </c>
      <c r="N154" s="24">
        <v>5</v>
      </c>
      <c r="O154" s="25">
        <v>1</v>
      </c>
      <c r="P154" s="25">
        <f t="shared" si="78"/>
        <v>0</v>
      </c>
      <c r="Q154" s="26"/>
      <c r="R154" s="26"/>
      <c r="S154" s="26"/>
      <c r="T154" s="27"/>
      <c r="U154" s="28">
        <f t="shared" si="64"/>
        <v>0</v>
      </c>
      <c r="V154" s="22"/>
      <c r="W154" s="22"/>
      <c r="X154" s="40"/>
      <c r="Y154" s="22"/>
      <c r="Z154" s="40"/>
      <c r="AA154" s="40"/>
      <c r="AB154" s="40"/>
      <c r="AC154" s="81" t="str">
        <f t="shared" si="74"/>
        <v/>
      </c>
      <c r="AD154" s="82" t="str">
        <f t="shared" si="75"/>
        <v/>
      </c>
      <c r="AE154" s="82" t="str">
        <f t="shared" si="76"/>
        <v/>
      </c>
    </row>
    <row r="155" spans="1:33" ht="14.25" customHeight="1" x14ac:dyDescent="0.2">
      <c r="A155" s="31">
        <f t="shared" ref="A155:B155" si="80">+A154</f>
        <v>44185</v>
      </c>
      <c r="B155" s="32">
        <f t="shared" si="80"/>
        <v>51</v>
      </c>
      <c r="C155" s="62">
        <f t="shared" si="61"/>
        <v>44185</v>
      </c>
      <c r="D155" s="19">
        <v>14</v>
      </c>
      <c r="E155" s="20"/>
      <c r="F155" s="21"/>
      <c r="G155" s="22"/>
      <c r="H155" s="22"/>
      <c r="I155" s="21"/>
      <c r="J155" s="22"/>
      <c r="K155" s="22"/>
      <c r="L155" s="23">
        <f t="shared" si="62"/>
        <v>0</v>
      </c>
      <c r="M155" s="22">
        <f t="shared" si="63"/>
        <v>0</v>
      </c>
      <c r="N155" s="24">
        <v>5</v>
      </c>
      <c r="O155" s="25">
        <v>1</v>
      </c>
      <c r="P155" s="25">
        <f t="shared" si="78"/>
        <v>0</v>
      </c>
      <c r="Q155" s="26"/>
      <c r="R155" s="26"/>
      <c r="S155" s="26"/>
      <c r="T155" s="27"/>
      <c r="U155" s="28">
        <f t="shared" si="64"/>
        <v>0</v>
      </c>
      <c r="V155" s="22"/>
      <c r="W155" s="22"/>
      <c r="X155" s="40"/>
      <c r="Y155" s="22"/>
      <c r="Z155" s="40"/>
      <c r="AA155" s="40"/>
      <c r="AB155" s="40"/>
      <c r="AC155" s="81" t="str">
        <f t="shared" si="74"/>
        <v/>
      </c>
      <c r="AD155" s="82" t="str">
        <f t="shared" si="75"/>
        <v/>
      </c>
      <c r="AE155" s="82" t="str">
        <f t="shared" si="76"/>
        <v/>
      </c>
    </row>
    <row r="156" spans="1:33" ht="14.25" customHeight="1" x14ac:dyDescent="0.2">
      <c r="A156" s="33">
        <f t="shared" ref="A156:B156" si="81">+A155</f>
        <v>44185</v>
      </c>
      <c r="B156" s="34">
        <f t="shared" si="81"/>
        <v>51</v>
      </c>
      <c r="C156" s="63">
        <f t="shared" si="61"/>
        <v>44185</v>
      </c>
      <c r="D156" s="19">
        <v>15</v>
      </c>
      <c r="E156" s="20"/>
      <c r="F156" s="21"/>
      <c r="G156" s="22"/>
      <c r="H156" s="22"/>
      <c r="I156" s="21"/>
      <c r="J156" s="22"/>
      <c r="K156" s="22"/>
      <c r="L156" s="23">
        <f t="shared" si="62"/>
        <v>0</v>
      </c>
      <c r="M156" s="22">
        <f t="shared" si="63"/>
        <v>0</v>
      </c>
      <c r="N156" s="24">
        <v>5</v>
      </c>
      <c r="O156" s="25">
        <v>1</v>
      </c>
      <c r="P156" s="25">
        <f t="shared" si="78"/>
        <v>0</v>
      </c>
      <c r="Q156" s="26"/>
      <c r="R156" s="26"/>
      <c r="S156" s="26"/>
      <c r="T156" s="27"/>
      <c r="U156" s="28">
        <f t="shared" si="64"/>
        <v>0</v>
      </c>
      <c r="V156" s="22"/>
      <c r="W156" s="22"/>
      <c r="X156" s="40"/>
      <c r="Y156" s="22"/>
      <c r="Z156" s="40"/>
      <c r="AA156" s="40"/>
      <c r="AB156" s="40"/>
      <c r="AC156" s="29" t="str">
        <f t="shared" si="74"/>
        <v/>
      </c>
      <c r="AD156" s="30" t="str">
        <f t="shared" si="75"/>
        <v/>
      </c>
      <c r="AE156" s="30" t="str">
        <f t="shared" si="76"/>
        <v/>
      </c>
    </row>
    <row r="157" spans="1:33" ht="23.25" customHeight="1" x14ac:dyDescent="0.2">
      <c r="A157" s="17">
        <f t="shared" ref="A157" si="82">+A152+1</f>
        <v>44186</v>
      </c>
      <c r="B157" s="18">
        <f t="shared" ref="B157" si="83">WEEKNUM(A157,2)</f>
        <v>52</v>
      </c>
      <c r="C157" s="61">
        <f t="shared" si="61"/>
        <v>44186</v>
      </c>
      <c r="D157" s="19">
        <v>16</v>
      </c>
      <c r="E157" s="20" t="s">
        <v>25</v>
      </c>
      <c r="F157" s="21">
        <v>44183.716122685197</v>
      </c>
      <c r="G157" s="22">
        <v>1987.7</v>
      </c>
      <c r="H157" s="22"/>
      <c r="I157" s="21">
        <v>44183.730416666702</v>
      </c>
      <c r="J157" s="22">
        <v>1991.2</v>
      </c>
      <c r="K157" s="22"/>
      <c r="L157" s="23">
        <f t="shared" si="62"/>
        <v>1.4293981505034026E-2</v>
      </c>
      <c r="M157" s="22">
        <f t="shared" si="63"/>
        <v>3.5</v>
      </c>
      <c r="N157" s="24">
        <v>5</v>
      </c>
      <c r="O157" s="25">
        <v>1</v>
      </c>
      <c r="P157" s="25">
        <f t="shared" ref="P157" si="84">+IF(J157&gt;0,O157*0.8,0)</f>
        <v>0.8</v>
      </c>
      <c r="Q157" s="26"/>
      <c r="R157" s="26"/>
      <c r="S157" s="26"/>
      <c r="T157" s="27"/>
      <c r="U157" s="83">
        <f t="shared" si="64"/>
        <v>16.7</v>
      </c>
      <c r="V157" s="22">
        <f t="shared" ref="V157" si="85">SUM(U157:U161)</f>
        <v>16.7</v>
      </c>
      <c r="W157" s="74">
        <f>+Tabla1[[#This Row],[RESULTADO DEL DÍA]]+W152</f>
        <v>2297.6</v>
      </c>
      <c r="X157" s="22">
        <f>+X152+Tabla1[[#This Row],[Objetivo presupuestado]]</f>
        <v>3150</v>
      </c>
      <c r="Y157" s="22" t="str">
        <f t="shared" ref="Y157" si="86">IF(AF157=0,"0",10)</f>
        <v>0</v>
      </c>
      <c r="Z157" s="22" t="str">
        <f t="shared" ref="Z157" si="87">IF(AF157=0,"0",50)</f>
        <v>0</v>
      </c>
      <c r="AA157" s="27">
        <f t="shared" ref="AA157" si="88">+IFERROR(AF160/(AG160*-1),AF160)</f>
        <v>0</v>
      </c>
      <c r="AB157" s="75" t="str">
        <f t="shared" ref="AB157" si="89">+IFERROR(AF161/AF157,"0")</f>
        <v>0</v>
      </c>
      <c r="AC157" s="81">
        <f t="shared" ref="AC157:AC161" si="90">+IF(J157&gt;0,1,"")</f>
        <v>1</v>
      </c>
      <c r="AD157" s="82">
        <f t="shared" ref="AD157:AD161" si="91">+IF(M157&gt;0,M157,"")</f>
        <v>3.5</v>
      </c>
      <c r="AE157" s="82" t="str">
        <f t="shared" ref="AE157:AE161" si="92">+IF(M157&lt;0,M157,"")</f>
        <v/>
      </c>
    </row>
    <row r="158" spans="1:33" ht="23.25" customHeight="1" x14ac:dyDescent="0.2">
      <c r="A158" s="31">
        <f t="shared" ref="A158:B158" si="93">+A157</f>
        <v>44186</v>
      </c>
      <c r="B158" s="32">
        <f t="shared" si="93"/>
        <v>52</v>
      </c>
      <c r="C158" s="62">
        <f t="shared" si="61"/>
        <v>44186</v>
      </c>
      <c r="D158" s="19">
        <v>17</v>
      </c>
      <c r="E158" s="20"/>
      <c r="F158" s="21"/>
      <c r="G158" s="22"/>
      <c r="H158" s="22"/>
      <c r="I158" s="21"/>
      <c r="J158" s="22"/>
      <c r="K158" s="22"/>
      <c r="L158" s="23">
        <f t="shared" si="62"/>
        <v>0</v>
      </c>
      <c r="M158" s="22">
        <f t="shared" si="63"/>
        <v>0</v>
      </c>
      <c r="N158" s="24">
        <v>5</v>
      </c>
      <c r="O158" s="25">
        <v>1</v>
      </c>
      <c r="P158" s="25">
        <f t="shared" ref="P158:P161" si="94">+IF(J158&gt;0,O158*1,0)</f>
        <v>0</v>
      </c>
      <c r="Q158" s="26"/>
      <c r="R158" s="26"/>
      <c r="S158" s="26"/>
      <c r="T158" s="27"/>
      <c r="U158" s="28">
        <f t="shared" si="64"/>
        <v>0</v>
      </c>
      <c r="V158" s="22"/>
      <c r="W158" s="22"/>
      <c r="X158" s="40"/>
      <c r="Y158" s="22"/>
      <c r="Z158" s="40"/>
      <c r="AA158" s="73"/>
      <c r="AB158" s="73"/>
      <c r="AC158" s="81" t="str">
        <f t="shared" si="90"/>
        <v/>
      </c>
      <c r="AD158" s="82" t="str">
        <f t="shared" si="91"/>
        <v/>
      </c>
      <c r="AE158" s="82" t="str">
        <f t="shared" si="92"/>
        <v/>
      </c>
    </row>
    <row r="159" spans="1:33" ht="20.25" customHeight="1" x14ac:dyDescent="0.2">
      <c r="A159" s="31">
        <f t="shared" ref="A159:B159" si="95">+A158</f>
        <v>44186</v>
      </c>
      <c r="B159" s="32">
        <f t="shared" si="95"/>
        <v>52</v>
      </c>
      <c r="C159" s="62">
        <f t="shared" si="61"/>
        <v>44186</v>
      </c>
      <c r="D159" s="19">
        <v>18</v>
      </c>
      <c r="E159" s="20"/>
      <c r="F159" s="21"/>
      <c r="G159" s="22"/>
      <c r="H159" s="22"/>
      <c r="I159" s="21"/>
      <c r="J159" s="22"/>
      <c r="K159" s="22"/>
      <c r="L159" s="23">
        <f t="shared" si="62"/>
        <v>0</v>
      </c>
      <c r="M159" s="22">
        <f t="shared" si="63"/>
        <v>0</v>
      </c>
      <c r="N159" s="24">
        <v>5</v>
      </c>
      <c r="O159" s="25">
        <v>1</v>
      </c>
      <c r="P159" s="25">
        <f t="shared" si="94"/>
        <v>0</v>
      </c>
      <c r="Q159" s="26"/>
      <c r="R159" s="26"/>
      <c r="S159" s="26"/>
      <c r="T159" s="27"/>
      <c r="U159" s="28">
        <f t="shared" si="64"/>
        <v>0</v>
      </c>
      <c r="V159" s="22"/>
      <c r="W159" s="22"/>
      <c r="X159" s="40"/>
      <c r="Y159" s="22"/>
      <c r="Z159" s="40"/>
      <c r="AA159" s="40"/>
      <c r="AB159" s="40"/>
      <c r="AC159" s="81" t="str">
        <f t="shared" si="90"/>
        <v/>
      </c>
      <c r="AD159" s="82" t="str">
        <f t="shared" si="91"/>
        <v/>
      </c>
      <c r="AE159" s="82" t="str">
        <f t="shared" si="92"/>
        <v/>
      </c>
    </row>
    <row r="160" spans="1:33" ht="23.25" customHeight="1" x14ac:dyDescent="0.2">
      <c r="A160" s="31">
        <f t="shared" ref="A160:B160" si="96">+A159</f>
        <v>44186</v>
      </c>
      <c r="B160" s="32">
        <f t="shared" si="96"/>
        <v>52</v>
      </c>
      <c r="C160" s="62">
        <f t="shared" si="61"/>
        <v>44186</v>
      </c>
      <c r="D160" s="19">
        <v>19</v>
      </c>
      <c r="E160" s="20"/>
      <c r="F160" s="21"/>
      <c r="G160" s="22"/>
      <c r="H160" s="22"/>
      <c r="I160" s="21"/>
      <c r="J160" s="22"/>
      <c r="K160" s="22"/>
      <c r="L160" s="23">
        <f t="shared" si="62"/>
        <v>0</v>
      </c>
      <c r="M160" s="22">
        <f t="shared" si="63"/>
        <v>0</v>
      </c>
      <c r="N160" s="24">
        <v>5</v>
      </c>
      <c r="O160" s="25">
        <v>1</v>
      </c>
      <c r="P160" s="25">
        <f t="shared" si="94"/>
        <v>0</v>
      </c>
      <c r="Q160" s="26"/>
      <c r="R160" s="26"/>
      <c r="S160" s="26"/>
      <c r="T160" s="27"/>
      <c r="U160" s="28">
        <f t="shared" si="64"/>
        <v>0</v>
      </c>
      <c r="V160" s="22"/>
      <c r="W160" s="22"/>
      <c r="X160" s="40"/>
      <c r="Y160" s="22"/>
      <c r="Z160" s="40"/>
      <c r="AA160" s="40"/>
      <c r="AB160" s="40"/>
      <c r="AC160" s="81" t="str">
        <f t="shared" si="90"/>
        <v/>
      </c>
      <c r="AD160" s="82" t="str">
        <f t="shared" si="91"/>
        <v/>
      </c>
      <c r="AE160" s="82" t="str">
        <f t="shared" si="92"/>
        <v/>
      </c>
    </row>
    <row r="161" spans="1:31" ht="21" customHeight="1" x14ac:dyDescent="0.2">
      <c r="A161" s="33">
        <f t="shared" ref="A161:B161" si="97">+A160</f>
        <v>44186</v>
      </c>
      <c r="B161" s="34">
        <f t="shared" si="97"/>
        <v>52</v>
      </c>
      <c r="C161" s="63">
        <f t="shared" si="61"/>
        <v>44186</v>
      </c>
      <c r="D161" s="19">
        <v>20</v>
      </c>
      <c r="E161" s="20"/>
      <c r="F161" s="21"/>
      <c r="G161" s="22"/>
      <c r="H161" s="22"/>
      <c r="I161" s="21"/>
      <c r="J161" s="22"/>
      <c r="K161" s="22"/>
      <c r="L161" s="23">
        <f t="shared" si="62"/>
        <v>0</v>
      </c>
      <c r="M161" s="22">
        <f t="shared" si="63"/>
        <v>0</v>
      </c>
      <c r="N161" s="24">
        <v>5</v>
      </c>
      <c r="O161" s="25">
        <v>1</v>
      </c>
      <c r="P161" s="25">
        <f t="shared" si="94"/>
        <v>0</v>
      </c>
      <c r="Q161" s="26"/>
      <c r="R161" s="26"/>
      <c r="S161" s="26"/>
      <c r="T161" s="27"/>
      <c r="U161" s="28">
        <f t="shared" si="64"/>
        <v>0</v>
      </c>
      <c r="V161" s="22"/>
      <c r="W161" s="22"/>
      <c r="X161" s="40"/>
      <c r="Y161" s="22"/>
      <c r="Z161" s="40"/>
      <c r="AA161" s="40"/>
      <c r="AB161" s="40"/>
      <c r="AC161" s="29" t="str">
        <f t="shared" si="90"/>
        <v/>
      </c>
      <c r="AD161" s="30" t="str">
        <f t="shared" si="91"/>
        <v/>
      </c>
      <c r="AE161" s="30" t="str">
        <f t="shared" si="92"/>
        <v/>
      </c>
    </row>
    <row r="162" spans="1:31" ht="14.25" customHeight="1" x14ac:dyDescent="0.2">
      <c r="A162" s="17">
        <f t="shared" ref="A162" si="98">+A157+1</f>
        <v>44187</v>
      </c>
      <c r="B162" s="18">
        <f t="shared" ref="B162" si="99">WEEKNUM(A162,2)</f>
        <v>52</v>
      </c>
      <c r="C162" s="61">
        <f t="shared" si="61"/>
        <v>44187</v>
      </c>
      <c r="D162" s="19">
        <v>21</v>
      </c>
      <c r="E162" s="20" t="s">
        <v>25</v>
      </c>
      <c r="F162" s="21">
        <v>44183.757789351803</v>
      </c>
      <c r="G162" s="22">
        <v>1988.7</v>
      </c>
      <c r="H162" s="22"/>
      <c r="I162" s="21">
        <v>44183.772083333301</v>
      </c>
      <c r="J162" s="22">
        <v>1992.2</v>
      </c>
      <c r="K162" s="22"/>
      <c r="L162" s="23">
        <f t="shared" si="62"/>
        <v>1.4293981497758068E-2</v>
      </c>
      <c r="M162" s="22">
        <f t="shared" si="63"/>
        <v>3.5</v>
      </c>
      <c r="N162" s="24">
        <v>5</v>
      </c>
      <c r="O162" s="25">
        <v>1</v>
      </c>
      <c r="P162" s="25">
        <f t="shared" ref="P162" si="100">+IF(J162&gt;0,O162*0.8,0)</f>
        <v>0.8</v>
      </c>
      <c r="Q162" s="26"/>
      <c r="R162" s="26"/>
      <c r="S162" s="26"/>
      <c r="T162" s="27"/>
      <c r="U162" s="83">
        <f t="shared" si="64"/>
        <v>16.7</v>
      </c>
      <c r="V162" s="22">
        <f t="shared" ref="V162" si="101">SUM(U162:U166)</f>
        <v>16.7</v>
      </c>
      <c r="W162" s="74">
        <f>+Tabla1[[#This Row],[RESULTADO DEL DÍA]]+W157</f>
        <v>2314.2999999999997</v>
      </c>
      <c r="X162" s="22">
        <f>+X157+Tabla1[[#This Row],[Objetivo presupuestado]]</f>
        <v>3150</v>
      </c>
      <c r="Y162" s="22" t="str">
        <f t="shared" ref="Y162" si="102">IF(AF162=0,"0",10)</f>
        <v>0</v>
      </c>
      <c r="Z162" s="22" t="str">
        <f t="shared" ref="Z162" si="103">IF(AF162=0,"0",50)</f>
        <v>0</v>
      </c>
      <c r="AA162" s="27">
        <f t="shared" ref="AA162" si="104">+IFERROR(AF165/(AG165*-1),AF165)</f>
        <v>0</v>
      </c>
      <c r="AB162" s="75" t="str">
        <f t="shared" ref="AB162" si="105">+IFERROR(AF166/AF162,"0")</f>
        <v>0</v>
      </c>
      <c r="AC162" s="84">
        <f t="shared" ref="AC162:AC166" si="106">+IF(J162&gt;0,1,"")</f>
        <v>1</v>
      </c>
      <c r="AD162" s="85">
        <f t="shared" ref="AD162:AD166" si="107">+IF(M162&gt;0,M162,"")</f>
        <v>3.5</v>
      </c>
      <c r="AE162" s="85" t="str">
        <f t="shared" ref="AE162:AE166" si="108">+IF(M162&lt;0,M162,"")</f>
        <v/>
      </c>
    </row>
    <row r="163" spans="1:31" ht="14.25" customHeight="1" x14ac:dyDescent="0.2">
      <c r="A163" s="31">
        <f t="shared" ref="A163:B163" si="109">+A162</f>
        <v>44187</v>
      </c>
      <c r="B163" s="32">
        <f t="shared" si="109"/>
        <v>52</v>
      </c>
      <c r="C163" s="62">
        <f t="shared" si="61"/>
        <v>44187</v>
      </c>
      <c r="D163" s="19">
        <v>22</v>
      </c>
      <c r="E163" s="20"/>
      <c r="F163" s="21"/>
      <c r="G163" s="22"/>
      <c r="H163" s="22"/>
      <c r="I163" s="21"/>
      <c r="J163" s="22"/>
      <c r="K163" s="22"/>
      <c r="L163" s="23">
        <f t="shared" si="62"/>
        <v>0</v>
      </c>
      <c r="M163" s="22">
        <f t="shared" si="63"/>
        <v>0</v>
      </c>
      <c r="N163" s="24">
        <v>5</v>
      </c>
      <c r="O163" s="25">
        <v>1</v>
      </c>
      <c r="P163" s="25">
        <f t="shared" ref="P163:P166" si="110">+IF(J163&gt;0,O163*1,0)</f>
        <v>0</v>
      </c>
      <c r="Q163" s="26"/>
      <c r="R163" s="26"/>
      <c r="S163" s="26"/>
      <c r="T163" s="27"/>
      <c r="U163" s="28">
        <f t="shared" si="64"/>
        <v>0</v>
      </c>
      <c r="V163" s="22"/>
      <c r="W163" s="22"/>
      <c r="X163" s="40"/>
      <c r="Y163" s="22"/>
      <c r="Z163" s="40"/>
      <c r="AA163" s="73"/>
      <c r="AB163" s="73"/>
      <c r="AC163" s="84" t="str">
        <f t="shared" si="106"/>
        <v/>
      </c>
      <c r="AD163" s="85" t="str">
        <f t="shared" si="107"/>
        <v/>
      </c>
      <c r="AE163" s="85" t="str">
        <f t="shared" si="108"/>
        <v/>
      </c>
    </row>
    <row r="164" spans="1:31" ht="14.25" customHeight="1" x14ac:dyDescent="0.2">
      <c r="A164" s="31">
        <f t="shared" ref="A164:B164" si="111">+A163</f>
        <v>44187</v>
      </c>
      <c r="B164" s="32">
        <f t="shared" si="111"/>
        <v>52</v>
      </c>
      <c r="C164" s="62">
        <f t="shared" si="61"/>
        <v>44187</v>
      </c>
      <c r="D164" s="19">
        <v>23</v>
      </c>
      <c r="E164" s="20"/>
      <c r="F164" s="21"/>
      <c r="G164" s="22"/>
      <c r="H164" s="22"/>
      <c r="I164" s="21"/>
      <c r="J164" s="22"/>
      <c r="K164" s="22"/>
      <c r="L164" s="23">
        <f t="shared" si="62"/>
        <v>0</v>
      </c>
      <c r="M164" s="22">
        <f t="shared" si="63"/>
        <v>0</v>
      </c>
      <c r="N164" s="24">
        <v>5</v>
      </c>
      <c r="O164" s="25">
        <v>1</v>
      </c>
      <c r="P164" s="25">
        <f t="shared" si="110"/>
        <v>0</v>
      </c>
      <c r="Q164" s="26"/>
      <c r="R164" s="26"/>
      <c r="S164" s="26"/>
      <c r="T164" s="27"/>
      <c r="U164" s="28">
        <f t="shared" si="64"/>
        <v>0</v>
      </c>
      <c r="V164" s="22"/>
      <c r="W164" s="22"/>
      <c r="X164" s="40"/>
      <c r="Y164" s="22"/>
      <c r="Z164" s="40"/>
      <c r="AA164" s="40"/>
      <c r="AB164" s="40"/>
      <c r="AC164" s="84" t="str">
        <f t="shared" si="106"/>
        <v/>
      </c>
      <c r="AD164" s="85" t="str">
        <f t="shared" si="107"/>
        <v/>
      </c>
      <c r="AE164" s="85" t="str">
        <f t="shared" si="108"/>
        <v/>
      </c>
    </row>
    <row r="165" spans="1:31" ht="14.25" customHeight="1" x14ac:dyDescent="0.2">
      <c r="A165" s="31">
        <f t="shared" ref="A165:B165" si="112">+A164</f>
        <v>44187</v>
      </c>
      <c r="B165" s="32">
        <f t="shared" si="112"/>
        <v>52</v>
      </c>
      <c r="C165" s="62">
        <f t="shared" si="61"/>
        <v>44187</v>
      </c>
      <c r="D165" s="19">
        <v>24</v>
      </c>
      <c r="E165" s="20"/>
      <c r="F165" s="21"/>
      <c r="G165" s="22"/>
      <c r="H165" s="22"/>
      <c r="I165" s="21"/>
      <c r="J165" s="22"/>
      <c r="K165" s="22"/>
      <c r="L165" s="23">
        <f t="shared" si="62"/>
        <v>0</v>
      </c>
      <c r="M165" s="22">
        <f t="shared" si="63"/>
        <v>0</v>
      </c>
      <c r="N165" s="24">
        <v>5</v>
      </c>
      <c r="O165" s="25">
        <v>1</v>
      </c>
      <c r="P165" s="25">
        <f t="shared" si="110"/>
        <v>0</v>
      </c>
      <c r="Q165" s="26"/>
      <c r="R165" s="26"/>
      <c r="S165" s="26"/>
      <c r="T165" s="27"/>
      <c r="U165" s="28">
        <f t="shared" si="64"/>
        <v>0</v>
      </c>
      <c r="V165" s="22"/>
      <c r="W165" s="22"/>
      <c r="X165" s="40"/>
      <c r="Y165" s="22"/>
      <c r="Z165" s="40"/>
      <c r="AA165" s="40"/>
      <c r="AB165" s="40"/>
      <c r="AC165" s="84" t="str">
        <f t="shared" si="106"/>
        <v/>
      </c>
      <c r="AD165" s="85" t="str">
        <f t="shared" si="107"/>
        <v/>
      </c>
      <c r="AE165" s="85" t="str">
        <f t="shared" si="108"/>
        <v/>
      </c>
    </row>
    <row r="166" spans="1:31" ht="14.25" customHeight="1" x14ac:dyDescent="0.2">
      <c r="A166" s="33">
        <f t="shared" ref="A166:B166" si="113">+A165</f>
        <v>44187</v>
      </c>
      <c r="B166" s="34">
        <f t="shared" si="113"/>
        <v>52</v>
      </c>
      <c r="C166" s="63">
        <f t="shared" si="61"/>
        <v>44187</v>
      </c>
      <c r="D166" s="19">
        <v>25</v>
      </c>
      <c r="E166" s="20"/>
      <c r="F166" s="21"/>
      <c r="G166" s="22"/>
      <c r="H166" s="22"/>
      <c r="I166" s="21"/>
      <c r="J166" s="22"/>
      <c r="K166" s="22"/>
      <c r="L166" s="23">
        <f t="shared" si="62"/>
        <v>0</v>
      </c>
      <c r="M166" s="22">
        <f t="shared" si="63"/>
        <v>0</v>
      </c>
      <c r="N166" s="24">
        <v>5</v>
      </c>
      <c r="O166" s="25">
        <v>1</v>
      </c>
      <c r="P166" s="25">
        <f t="shared" si="110"/>
        <v>0</v>
      </c>
      <c r="Q166" s="26"/>
      <c r="R166" s="26"/>
      <c r="S166" s="26"/>
      <c r="T166" s="27"/>
      <c r="U166" s="28">
        <f t="shared" si="64"/>
        <v>0</v>
      </c>
      <c r="V166" s="22"/>
      <c r="W166" s="22"/>
      <c r="X166" s="40"/>
      <c r="Y166" s="22"/>
      <c r="Z166" s="40"/>
      <c r="AA166" s="40"/>
      <c r="AB166" s="40"/>
      <c r="AC166" s="86" t="str">
        <f t="shared" si="106"/>
        <v/>
      </c>
      <c r="AD166" s="87" t="str">
        <f t="shared" si="107"/>
        <v/>
      </c>
      <c r="AE166" s="87" t="str">
        <f t="shared" si="108"/>
        <v/>
      </c>
    </row>
    <row r="167" spans="1:31" ht="14.25" customHeight="1" x14ac:dyDescent="0.2">
      <c r="A167" s="17">
        <f t="shared" ref="A167" si="114">+A162+1</f>
        <v>44188</v>
      </c>
      <c r="B167" s="18">
        <f t="shared" ref="B167" si="115">WEEKNUM(A167,2)</f>
        <v>52</v>
      </c>
      <c r="C167" s="61">
        <f t="shared" si="61"/>
        <v>44188</v>
      </c>
      <c r="D167" s="19">
        <v>26</v>
      </c>
      <c r="E167" s="20" t="s">
        <v>25</v>
      </c>
      <c r="F167" s="21">
        <v>44183.799456018503</v>
      </c>
      <c r="G167" s="22">
        <v>1989.7</v>
      </c>
      <c r="H167" s="22"/>
      <c r="I167" s="21">
        <v>44183.813750000001</v>
      </c>
      <c r="J167" s="22">
        <v>1993.2</v>
      </c>
      <c r="K167" s="22"/>
      <c r="L167" s="23">
        <f t="shared" si="62"/>
        <v>1.4293981497758068E-2</v>
      </c>
      <c r="M167" s="22">
        <f t="shared" si="63"/>
        <v>3.5</v>
      </c>
      <c r="N167" s="24">
        <v>5</v>
      </c>
      <c r="O167" s="25">
        <v>1</v>
      </c>
      <c r="P167" s="25">
        <f t="shared" ref="P167" si="116">+IF(J167&gt;0,O167*0.8,0)</f>
        <v>0.8</v>
      </c>
      <c r="Q167" s="26"/>
      <c r="R167" s="26"/>
      <c r="S167" s="26"/>
      <c r="T167" s="27"/>
      <c r="U167" s="83">
        <f t="shared" si="64"/>
        <v>16.7</v>
      </c>
      <c r="V167" s="22">
        <f t="shared" ref="V167" si="117">SUM(U167:U171)</f>
        <v>16.7</v>
      </c>
      <c r="W167" s="74">
        <f>+Tabla1[[#This Row],[RESULTADO DEL DÍA]]+W162</f>
        <v>2330.9999999999995</v>
      </c>
      <c r="X167" s="22">
        <f>+X162+Tabla1[[#This Row],[Objetivo presupuestado]]</f>
        <v>3150</v>
      </c>
      <c r="Y167" s="22" t="str">
        <f t="shared" ref="Y167" si="118">IF(AF167=0,"0",10)</f>
        <v>0</v>
      </c>
      <c r="Z167" s="22" t="str">
        <f t="shared" ref="Z167" si="119">IF(AF167=0,"0",50)</f>
        <v>0</v>
      </c>
      <c r="AA167" s="27">
        <f t="shared" ref="AA167" si="120">+IFERROR(AF170/(AG170*-1),AF170)</f>
        <v>0</v>
      </c>
      <c r="AB167" s="75" t="str">
        <f t="shared" ref="AB167" si="121">+IFERROR(AF171/AF167,"0")</f>
        <v>0</v>
      </c>
      <c r="AC167" s="84">
        <f t="shared" ref="AC167:AC171" si="122">+IF(J167&gt;0,1,"")</f>
        <v>1</v>
      </c>
      <c r="AD167" s="85">
        <f t="shared" ref="AD167:AD171" si="123">+IF(M167&gt;0,M167,"")</f>
        <v>3.5</v>
      </c>
      <c r="AE167" s="85" t="str">
        <f t="shared" ref="AE167:AE171" si="124">+IF(M167&lt;0,M167,"")</f>
        <v/>
      </c>
    </row>
    <row r="168" spans="1:31" ht="14.25" customHeight="1" x14ac:dyDescent="0.2">
      <c r="A168" s="31">
        <f t="shared" ref="A168:B168" si="125">+A167</f>
        <v>44188</v>
      </c>
      <c r="B168" s="32">
        <f t="shared" si="125"/>
        <v>52</v>
      </c>
      <c r="C168" s="62">
        <f t="shared" si="61"/>
        <v>44188</v>
      </c>
      <c r="D168" s="19">
        <v>27</v>
      </c>
      <c r="E168" s="20"/>
      <c r="F168" s="21"/>
      <c r="G168" s="22"/>
      <c r="H168" s="22"/>
      <c r="I168" s="21"/>
      <c r="J168" s="22"/>
      <c r="K168" s="22"/>
      <c r="L168" s="23">
        <f t="shared" si="62"/>
        <v>0</v>
      </c>
      <c r="M168" s="22">
        <f t="shared" si="63"/>
        <v>0</v>
      </c>
      <c r="N168" s="24">
        <v>5</v>
      </c>
      <c r="O168" s="25">
        <v>1</v>
      </c>
      <c r="P168" s="25">
        <f t="shared" ref="P168:P171" si="126">+IF(J168&gt;0,O168*1,0)</f>
        <v>0</v>
      </c>
      <c r="Q168" s="26"/>
      <c r="R168" s="26"/>
      <c r="S168" s="26"/>
      <c r="T168" s="27"/>
      <c r="U168" s="28">
        <f t="shared" si="64"/>
        <v>0</v>
      </c>
      <c r="V168" s="22"/>
      <c r="W168" s="22"/>
      <c r="X168" s="40"/>
      <c r="Y168" s="22"/>
      <c r="Z168" s="40"/>
      <c r="AA168" s="73"/>
      <c r="AB168" s="73"/>
      <c r="AC168" s="84" t="str">
        <f t="shared" si="122"/>
        <v/>
      </c>
      <c r="AD168" s="85" t="str">
        <f t="shared" si="123"/>
        <v/>
      </c>
      <c r="AE168" s="85" t="str">
        <f t="shared" si="124"/>
        <v/>
      </c>
    </row>
    <row r="169" spans="1:31" ht="14.25" customHeight="1" x14ac:dyDescent="0.2">
      <c r="A169" s="31">
        <f t="shared" ref="A169:B169" si="127">+A168</f>
        <v>44188</v>
      </c>
      <c r="B169" s="32">
        <f t="shared" si="127"/>
        <v>52</v>
      </c>
      <c r="C169" s="62">
        <f t="shared" si="61"/>
        <v>44188</v>
      </c>
      <c r="D169" s="19">
        <v>28</v>
      </c>
      <c r="E169" s="20"/>
      <c r="F169" s="21"/>
      <c r="G169" s="22"/>
      <c r="H169" s="22"/>
      <c r="I169" s="21"/>
      <c r="J169" s="22"/>
      <c r="K169" s="22"/>
      <c r="L169" s="23">
        <f t="shared" si="62"/>
        <v>0</v>
      </c>
      <c r="M169" s="22">
        <f t="shared" si="63"/>
        <v>0</v>
      </c>
      <c r="N169" s="24">
        <v>5</v>
      </c>
      <c r="O169" s="25">
        <v>1</v>
      </c>
      <c r="P169" s="25">
        <f t="shared" si="126"/>
        <v>0</v>
      </c>
      <c r="Q169" s="26"/>
      <c r="R169" s="26"/>
      <c r="S169" s="26"/>
      <c r="T169" s="27"/>
      <c r="U169" s="28">
        <f t="shared" si="64"/>
        <v>0</v>
      </c>
      <c r="V169" s="22"/>
      <c r="W169" s="22"/>
      <c r="X169" s="40"/>
      <c r="Y169" s="22"/>
      <c r="Z169" s="40"/>
      <c r="AA169" s="40"/>
      <c r="AB169" s="40"/>
      <c r="AC169" s="84" t="str">
        <f t="shared" si="122"/>
        <v/>
      </c>
      <c r="AD169" s="85" t="str">
        <f t="shared" si="123"/>
        <v/>
      </c>
      <c r="AE169" s="85" t="str">
        <f t="shared" si="124"/>
        <v/>
      </c>
    </row>
    <row r="170" spans="1:31" ht="14.25" customHeight="1" x14ac:dyDescent="0.2">
      <c r="A170" s="31">
        <f t="shared" ref="A170:B170" si="128">+A169</f>
        <v>44188</v>
      </c>
      <c r="B170" s="32">
        <f t="shared" si="128"/>
        <v>52</v>
      </c>
      <c r="C170" s="62">
        <f t="shared" si="61"/>
        <v>44188</v>
      </c>
      <c r="D170" s="19">
        <v>29</v>
      </c>
      <c r="E170" s="20"/>
      <c r="F170" s="21"/>
      <c r="G170" s="22"/>
      <c r="H170" s="22"/>
      <c r="I170" s="21"/>
      <c r="J170" s="22"/>
      <c r="K170" s="22"/>
      <c r="L170" s="23">
        <f t="shared" si="62"/>
        <v>0</v>
      </c>
      <c r="M170" s="22">
        <f t="shared" si="63"/>
        <v>0</v>
      </c>
      <c r="N170" s="24">
        <v>5</v>
      </c>
      <c r="O170" s="25">
        <v>1</v>
      </c>
      <c r="P170" s="25">
        <f t="shared" si="126"/>
        <v>0</v>
      </c>
      <c r="Q170" s="26"/>
      <c r="R170" s="26"/>
      <c r="S170" s="26"/>
      <c r="T170" s="27"/>
      <c r="U170" s="28">
        <f t="shared" si="64"/>
        <v>0</v>
      </c>
      <c r="V170" s="22"/>
      <c r="W170" s="22"/>
      <c r="X170" s="40"/>
      <c r="Y170" s="22"/>
      <c r="Z170" s="40"/>
      <c r="AA170" s="40"/>
      <c r="AB170" s="40"/>
      <c r="AC170" s="84" t="str">
        <f t="shared" si="122"/>
        <v/>
      </c>
      <c r="AD170" s="85" t="str">
        <f t="shared" si="123"/>
        <v/>
      </c>
      <c r="AE170" s="85" t="str">
        <f t="shared" si="124"/>
        <v/>
      </c>
    </row>
    <row r="171" spans="1:31" ht="14.25" customHeight="1" x14ac:dyDescent="0.2">
      <c r="A171" s="33">
        <f t="shared" ref="A171:B171" si="129">+A170</f>
        <v>44188</v>
      </c>
      <c r="B171" s="34">
        <f t="shared" si="129"/>
        <v>52</v>
      </c>
      <c r="C171" s="63">
        <f t="shared" si="61"/>
        <v>44188</v>
      </c>
      <c r="D171" s="19">
        <v>30</v>
      </c>
      <c r="E171" s="20"/>
      <c r="F171" s="21"/>
      <c r="G171" s="22"/>
      <c r="H171" s="22"/>
      <c r="I171" s="21"/>
      <c r="J171" s="22"/>
      <c r="K171" s="22"/>
      <c r="L171" s="23">
        <f t="shared" si="62"/>
        <v>0</v>
      </c>
      <c r="M171" s="22">
        <f t="shared" si="63"/>
        <v>0</v>
      </c>
      <c r="N171" s="24">
        <v>5</v>
      </c>
      <c r="O171" s="25">
        <v>1</v>
      </c>
      <c r="P171" s="25">
        <f t="shared" si="126"/>
        <v>0</v>
      </c>
      <c r="Q171" s="26"/>
      <c r="R171" s="26"/>
      <c r="S171" s="26"/>
      <c r="T171" s="27"/>
      <c r="U171" s="28">
        <f t="shared" si="64"/>
        <v>0</v>
      </c>
      <c r="V171" s="22"/>
      <c r="W171" s="22"/>
      <c r="X171" s="40"/>
      <c r="Y171" s="22"/>
      <c r="Z171" s="40"/>
      <c r="AA171" s="40"/>
      <c r="AB171" s="40"/>
      <c r="AC171" s="86" t="str">
        <f t="shared" si="122"/>
        <v/>
      </c>
      <c r="AD171" s="87" t="str">
        <f t="shared" si="123"/>
        <v/>
      </c>
      <c r="AE171" s="87" t="str">
        <f t="shared" si="124"/>
        <v/>
      </c>
    </row>
    <row r="172" spans="1:31" ht="14.25" customHeight="1" x14ac:dyDescent="0.2">
      <c r="A172" s="17">
        <f t="shared" ref="A172" si="130">+A167+1</f>
        <v>44189</v>
      </c>
      <c r="B172" s="18">
        <f t="shared" ref="B172" si="131">WEEKNUM(A172,2)</f>
        <v>52</v>
      </c>
      <c r="C172" s="61">
        <f t="shared" si="61"/>
        <v>44189</v>
      </c>
      <c r="D172" s="19">
        <v>31</v>
      </c>
      <c r="E172" s="20" t="s">
        <v>25</v>
      </c>
      <c r="F172" s="21">
        <v>44183.841122685197</v>
      </c>
      <c r="G172" s="22">
        <v>1990.7</v>
      </c>
      <c r="H172" s="22"/>
      <c r="I172" s="21">
        <v>44183.855416666702</v>
      </c>
      <c r="J172" s="22">
        <v>1994.2</v>
      </c>
      <c r="K172" s="22"/>
      <c r="L172" s="23">
        <f t="shared" si="62"/>
        <v>1.4293981505034026E-2</v>
      </c>
      <c r="M172" s="22">
        <f t="shared" si="63"/>
        <v>3.5</v>
      </c>
      <c r="N172" s="24">
        <v>5</v>
      </c>
      <c r="O172" s="25">
        <v>1</v>
      </c>
      <c r="P172" s="25">
        <f t="shared" ref="P172" si="132">+IF(J172&gt;0,O172*0.8,0)</f>
        <v>0.8</v>
      </c>
      <c r="Q172" s="26"/>
      <c r="R172" s="26"/>
      <c r="S172" s="26"/>
      <c r="T172" s="27"/>
      <c r="U172" s="83">
        <f t="shared" si="64"/>
        <v>16.7</v>
      </c>
      <c r="V172" s="22">
        <f t="shared" ref="V172" si="133">SUM(U172:U176)</f>
        <v>16.7</v>
      </c>
      <c r="W172" s="74">
        <f>+Tabla1[[#This Row],[RESULTADO DEL DÍA]]+W167</f>
        <v>2347.6999999999994</v>
      </c>
      <c r="X172" s="22">
        <f>+X167+Tabla1[[#This Row],[Objetivo presupuestado]]</f>
        <v>3150</v>
      </c>
      <c r="Y172" s="22" t="str">
        <f t="shared" ref="Y172" si="134">IF(AF172=0,"0",10)</f>
        <v>0</v>
      </c>
      <c r="Z172" s="22" t="str">
        <f t="shared" ref="Z172" si="135">IF(AF172=0,"0",50)</f>
        <v>0</v>
      </c>
      <c r="AA172" s="27">
        <f t="shared" ref="AA172" si="136">+IFERROR(AF175/(AG175*-1),AF175)</f>
        <v>0</v>
      </c>
      <c r="AB172" s="75" t="str">
        <f t="shared" ref="AB172" si="137">+IFERROR(AF176/AF172,"0")</f>
        <v>0</v>
      </c>
      <c r="AC172" s="84">
        <f t="shared" ref="AC172:AC176" si="138">+IF(J172&gt;0,1,"")</f>
        <v>1</v>
      </c>
      <c r="AD172" s="85">
        <f t="shared" ref="AD172:AD176" si="139">+IF(M172&gt;0,M172,"")</f>
        <v>3.5</v>
      </c>
      <c r="AE172" s="85" t="str">
        <f t="shared" ref="AE172:AE176" si="140">+IF(M172&lt;0,M172,"")</f>
        <v/>
      </c>
    </row>
    <row r="173" spans="1:31" ht="14.25" customHeight="1" x14ac:dyDescent="0.2">
      <c r="A173" s="31">
        <f t="shared" ref="A173:B173" si="141">+A172</f>
        <v>44189</v>
      </c>
      <c r="B173" s="32">
        <f t="shared" si="141"/>
        <v>52</v>
      </c>
      <c r="C173" s="62">
        <f t="shared" si="61"/>
        <v>44189</v>
      </c>
      <c r="D173" s="19">
        <v>32</v>
      </c>
      <c r="E173" s="20"/>
      <c r="F173" s="21"/>
      <c r="G173" s="22"/>
      <c r="H173" s="22"/>
      <c r="I173" s="21"/>
      <c r="J173" s="22"/>
      <c r="K173" s="22"/>
      <c r="L173" s="23">
        <f t="shared" si="62"/>
        <v>0</v>
      </c>
      <c r="M173" s="22">
        <f t="shared" si="63"/>
        <v>0</v>
      </c>
      <c r="N173" s="24">
        <v>5</v>
      </c>
      <c r="O173" s="25">
        <v>1</v>
      </c>
      <c r="P173" s="25">
        <f t="shared" ref="P173:P176" si="142">+IF(J173&gt;0,O173*1,0)</f>
        <v>0</v>
      </c>
      <c r="Q173" s="26"/>
      <c r="R173" s="26"/>
      <c r="S173" s="26"/>
      <c r="T173" s="27"/>
      <c r="U173" s="28">
        <f t="shared" si="64"/>
        <v>0</v>
      </c>
      <c r="V173" s="22"/>
      <c r="W173" s="22"/>
      <c r="X173" s="40"/>
      <c r="Y173" s="22"/>
      <c r="Z173" s="40"/>
      <c r="AA173" s="73"/>
      <c r="AB173" s="73"/>
      <c r="AC173" s="84" t="str">
        <f t="shared" si="138"/>
        <v/>
      </c>
      <c r="AD173" s="85" t="str">
        <f t="shared" si="139"/>
        <v/>
      </c>
      <c r="AE173" s="85" t="str">
        <f t="shared" si="140"/>
        <v/>
      </c>
    </row>
    <row r="174" spans="1:31" ht="14.25" customHeight="1" x14ac:dyDescent="0.2">
      <c r="A174" s="31">
        <f t="shared" ref="A174:B174" si="143">+A173</f>
        <v>44189</v>
      </c>
      <c r="B174" s="32">
        <f t="shared" si="143"/>
        <v>52</v>
      </c>
      <c r="C174" s="62">
        <f t="shared" si="61"/>
        <v>44189</v>
      </c>
      <c r="D174" s="19">
        <v>33</v>
      </c>
      <c r="E174" s="20"/>
      <c r="F174" s="21"/>
      <c r="G174" s="22"/>
      <c r="H174" s="22"/>
      <c r="I174" s="21"/>
      <c r="J174" s="22"/>
      <c r="K174" s="22"/>
      <c r="L174" s="23">
        <f t="shared" si="62"/>
        <v>0</v>
      </c>
      <c r="M174" s="22">
        <f t="shared" si="63"/>
        <v>0</v>
      </c>
      <c r="N174" s="24">
        <v>5</v>
      </c>
      <c r="O174" s="25">
        <v>1</v>
      </c>
      <c r="P174" s="25">
        <f t="shared" si="142"/>
        <v>0</v>
      </c>
      <c r="Q174" s="26"/>
      <c r="R174" s="26"/>
      <c r="S174" s="26"/>
      <c r="T174" s="27"/>
      <c r="U174" s="28">
        <f t="shared" si="64"/>
        <v>0</v>
      </c>
      <c r="V174" s="22"/>
      <c r="W174" s="22"/>
      <c r="X174" s="40"/>
      <c r="Y174" s="22"/>
      <c r="Z174" s="40"/>
      <c r="AA174" s="40"/>
      <c r="AB174" s="40"/>
      <c r="AC174" s="84" t="str">
        <f t="shared" si="138"/>
        <v/>
      </c>
      <c r="AD174" s="85" t="str">
        <f t="shared" si="139"/>
        <v/>
      </c>
      <c r="AE174" s="85" t="str">
        <f t="shared" si="140"/>
        <v/>
      </c>
    </row>
    <row r="175" spans="1:31" ht="14.25" customHeight="1" x14ac:dyDescent="0.2">
      <c r="A175" s="31">
        <f t="shared" ref="A175:B175" si="144">+A174</f>
        <v>44189</v>
      </c>
      <c r="B175" s="32">
        <f t="shared" si="144"/>
        <v>52</v>
      </c>
      <c r="C175" s="62">
        <f t="shared" si="61"/>
        <v>44189</v>
      </c>
      <c r="D175" s="19">
        <v>34</v>
      </c>
      <c r="E175" s="20"/>
      <c r="F175" s="21"/>
      <c r="G175" s="22"/>
      <c r="H175" s="22"/>
      <c r="I175" s="21"/>
      <c r="J175" s="22"/>
      <c r="K175" s="22"/>
      <c r="L175" s="23">
        <f t="shared" si="62"/>
        <v>0</v>
      </c>
      <c r="M175" s="22">
        <f t="shared" si="63"/>
        <v>0</v>
      </c>
      <c r="N175" s="24">
        <v>5</v>
      </c>
      <c r="O175" s="25">
        <v>1</v>
      </c>
      <c r="P175" s="25">
        <f t="shared" si="142"/>
        <v>0</v>
      </c>
      <c r="Q175" s="26"/>
      <c r="R175" s="26"/>
      <c r="S175" s="26"/>
      <c r="T175" s="27"/>
      <c r="U175" s="28">
        <f t="shared" si="64"/>
        <v>0</v>
      </c>
      <c r="V175" s="22"/>
      <c r="W175" s="22"/>
      <c r="X175" s="40"/>
      <c r="Y175" s="22"/>
      <c r="Z175" s="40"/>
      <c r="AA175" s="40"/>
      <c r="AB175" s="40"/>
      <c r="AC175" s="84" t="str">
        <f t="shared" si="138"/>
        <v/>
      </c>
      <c r="AD175" s="85" t="str">
        <f t="shared" si="139"/>
        <v/>
      </c>
      <c r="AE175" s="85" t="str">
        <f t="shared" si="140"/>
        <v/>
      </c>
    </row>
    <row r="176" spans="1:31" ht="14.25" customHeight="1" x14ac:dyDescent="0.2">
      <c r="A176" s="33">
        <f t="shared" ref="A176:B176" si="145">+A175</f>
        <v>44189</v>
      </c>
      <c r="B176" s="34">
        <f t="shared" si="145"/>
        <v>52</v>
      </c>
      <c r="C176" s="63">
        <f t="shared" si="61"/>
        <v>44189</v>
      </c>
      <c r="D176" s="19">
        <v>35</v>
      </c>
      <c r="E176" s="20"/>
      <c r="F176" s="21"/>
      <c r="G176" s="22"/>
      <c r="H176" s="22"/>
      <c r="I176" s="21"/>
      <c r="J176" s="22"/>
      <c r="K176" s="22"/>
      <c r="L176" s="23">
        <f t="shared" si="62"/>
        <v>0</v>
      </c>
      <c r="M176" s="22">
        <f t="shared" si="63"/>
        <v>0</v>
      </c>
      <c r="N176" s="24">
        <v>5</v>
      </c>
      <c r="O176" s="25">
        <v>1</v>
      </c>
      <c r="P176" s="25">
        <f t="shared" si="142"/>
        <v>0</v>
      </c>
      <c r="Q176" s="26"/>
      <c r="R176" s="26"/>
      <c r="S176" s="26"/>
      <c r="T176" s="27"/>
      <c r="U176" s="28">
        <f t="shared" si="64"/>
        <v>0</v>
      </c>
      <c r="V176" s="22"/>
      <c r="W176" s="22"/>
      <c r="X176" s="40"/>
      <c r="Y176" s="22"/>
      <c r="Z176" s="40"/>
      <c r="AA176" s="40"/>
      <c r="AB176" s="40"/>
      <c r="AC176" s="86" t="str">
        <f t="shared" si="138"/>
        <v/>
      </c>
      <c r="AD176" s="87" t="str">
        <f t="shared" si="139"/>
        <v/>
      </c>
      <c r="AE176" s="87" t="str">
        <f t="shared" si="140"/>
        <v/>
      </c>
    </row>
    <row r="177" spans="1:31" ht="14.25" customHeight="1" x14ac:dyDescent="0.2">
      <c r="A177" s="17">
        <f t="shared" ref="A177" si="146">+A172+1</f>
        <v>44190</v>
      </c>
      <c r="B177" s="18">
        <f t="shared" ref="B177" si="147">WEEKNUM(A177,2)</f>
        <v>52</v>
      </c>
      <c r="C177" s="61">
        <f t="shared" si="61"/>
        <v>44190</v>
      </c>
      <c r="D177" s="19">
        <v>36</v>
      </c>
      <c r="E177" s="20" t="s">
        <v>25</v>
      </c>
      <c r="F177" s="21">
        <v>44183.882789351803</v>
      </c>
      <c r="G177" s="22">
        <v>1991.7</v>
      </c>
      <c r="H177" s="22"/>
      <c r="I177" s="21">
        <v>44183.897083333301</v>
      </c>
      <c r="J177" s="22">
        <v>1995.2</v>
      </c>
      <c r="K177" s="22"/>
      <c r="L177" s="23">
        <f t="shared" si="62"/>
        <v>1.4293981497758068E-2</v>
      </c>
      <c r="M177" s="22">
        <f t="shared" si="63"/>
        <v>3.5</v>
      </c>
      <c r="N177" s="24">
        <v>5</v>
      </c>
      <c r="O177" s="25">
        <v>1</v>
      </c>
      <c r="P177" s="25">
        <f t="shared" ref="P177" si="148">+IF(J177&gt;0,O177*0.8,0)</f>
        <v>0.8</v>
      </c>
      <c r="Q177" s="26"/>
      <c r="R177" s="26"/>
      <c r="S177" s="26"/>
      <c r="T177" s="27"/>
      <c r="U177" s="83">
        <f t="shared" si="64"/>
        <v>16.7</v>
      </c>
      <c r="V177" s="22">
        <f t="shared" ref="V177" si="149">SUM(U177:U181)</f>
        <v>16.7</v>
      </c>
      <c r="W177" s="74">
        <f>+Tabla1[[#This Row],[RESULTADO DEL DÍA]]+W172</f>
        <v>2364.3999999999992</v>
      </c>
      <c r="X177" s="22">
        <f>+X172+Tabla1[[#This Row],[Objetivo presupuestado]]</f>
        <v>3150</v>
      </c>
      <c r="Y177" s="22" t="str">
        <f t="shared" ref="Y177" si="150">IF(AF177=0,"0",10)</f>
        <v>0</v>
      </c>
      <c r="Z177" s="22" t="str">
        <f t="shared" ref="Z177" si="151">IF(AF177=0,"0",50)</f>
        <v>0</v>
      </c>
      <c r="AA177" s="27">
        <f t="shared" ref="AA177" si="152">+IFERROR(AF180/(AG180*-1),AF180)</f>
        <v>0</v>
      </c>
      <c r="AB177" s="75" t="str">
        <f t="shared" ref="AB177" si="153">+IFERROR(AF181/AF177,"0")</f>
        <v>0</v>
      </c>
      <c r="AC177" s="81">
        <f t="shared" ref="AC177:AC181" si="154">+IF(J177&gt;0,1,"")</f>
        <v>1</v>
      </c>
      <c r="AD177" s="82">
        <f t="shared" ref="AD177:AD181" si="155">+IF(M177&gt;0,M177,"")</f>
        <v>3.5</v>
      </c>
      <c r="AE177" s="82" t="str">
        <f t="shared" ref="AE177:AE181" si="156">+IF(M177&lt;0,M177,"")</f>
        <v/>
      </c>
    </row>
    <row r="178" spans="1:31" ht="14.25" customHeight="1" x14ac:dyDescent="0.2">
      <c r="A178" s="31">
        <f t="shared" ref="A178:B178" si="157">+A177</f>
        <v>44190</v>
      </c>
      <c r="B178" s="32">
        <f t="shared" si="157"/>
        <v>52</v>
      </c>
      <c r="C178" s="62">
        <f t="shared" si="61"/>
        <v>44190</v>
      </c>
      <c r="D178" s="19">
        <v>37</v>
      </c>
      <c r="E178" s="20"/>
      <c r="F178" s="21"/>
      <c r="G178" s="22"/>
      <c r="H178" s="22"/>
      <c r="I178" s="21"/>
      <c r="J178" s="22"/>
      <c r="K178" s="22"/>
      <c r="L178" s="23">
        <f t="shared" si="62"/>
        <v>0</v>
      </c>
      <c r="M178" s="22">
        <f t="shared" si="63"/>
        <v>0</v>
      </c>
      <c r="N178" s="24">
        <v>5</v>
      </c>
      <c r="O178" s="25">
        <v>1</v>
      </c>
      <c r="P178" s="25">
        <f t="shared" ref="P178:P181" si="158">+IF(J178&gt;0,O178*1,0)</f>
        <v>0</v>
      </c>
      <c r="Q178" s="26"/>
      <c r="R178" s="26"/>
      <c r="S178" s="26"/>
      <c r="T178" s="27"/>
      <c r="U178" s="28">
        <f t="shared" si="64"/>
        <v>0</v>
      </c>
      <c r="V178" s="22"/>
      <c r="W178" s="22"/>
      <c r="X178" s="40"/>
      <c r="Y178" s="22"/>
      <c r="Z178" s="40"/>
      <c r="AA178" s="73"/>
      <c r="AB178" s="73"/>
      <c r="AC178" s="81" t="str">
        <f t="shared" si="154"/>
        <v/>
      </c>
      <c r="AD178" s="82" t="str">
        <f t="shared" si="155"/>
        <v/>
      </c>
      <c r="AE178" s="82" t="str">
        <f t="shared" si="156"/>
        <v/>
      </c>
    </row>
    <row r="179" spans="1:31" ht="14.25" customHeight="1" x14ac:dyDescent="0.2">
      <c r="A179" s="31">
        <f t="shared" ref="A179:B179" si="159">+A178</f>
        <v>44190</v>
      </c>
      <c r="B179" s="32">
        <f t="shared" si="159"/>
        <v>52</v>
      </c>
      <c r="C179" s="62">
        <f t="shared" si="61"/>
        <v>44190</v>
      </c>
      <c r="D179" s="19">
        <v>38</v>
      </c>
      <c r="E179" s="20"/>
      <c r="F179" s="21"/>
      <c r="G179" s="22"/>
      <c r="H179" s="22"/>
      <c r="I179" s="21"/>
      <c r="J179" s="22"/>
      <c r="K179" s="22"/>
      <c r="L179" s="23">
        <f t="shared" si="62"/>
        <v>0</v>
      </c>
      <c r="M179" s="22">
        <f t="shared" si="63"/>
        <v>0</v>
      </c>
      <c r="N179" s="24">
        <v>5</v>
      </c>
      <c r="O179" s="25">
        <v>1</v>
      </c>
      <c r="P179" s="25">
        <f t="shared" si="158"/>
        <v>0</v>
      </c>
      <c r="Q179" s="26"/>
      <c r="R179" s="26"/>
      <c r="S179" s="26"/>
      <c r="T179" s="27"/>
      <c r="U179" s="28">
        <f t="shared" si="64"/>
        <v>0</v>
      </c>
      <c r="V179" s="22"/>
      <c r="W179" s="22"/>
      <c r="X179" s="40"/>
      <c r="Y179" s="22"/>
      <c r="Z179" s="40"/>
      <c r="AA179" s="40"/>
      <c r="AB179" s="40"/>
      <c r="AC179" s="81" t="str">
        <f t="shared" si="154"/>
        <v/>
      </c>
      <c r="AD179" s="82" t="str">
        <f t="shared" si="155"/>
        <v/>
      </c>
      <c r="AE179" s="82" t="str">
        <f t="shared" si="156"/>
        <v/>
      </c>
    </row>
    <row r="180" spans="1:31" ht="14.25" customHeight="1" x14ac:dyDescent="0.2">
      <c r="A180" s="31">
        <f t="shared" ref="A180:B180" si="160">+A179</f>
        <v>44190</v>
      </c>
      <c r="B180" s="32">
        <f t="shared" si="160"/>
        <v>52</v>
      </c>
      <c r="C180" s="62">
        <f t="shared" si="61"/>
        <v>44190</v>
      </c>
      <c r="D180" s="19">
        <v>39</v>
      </c>
      <c r="E180" s="20"/>
      <c r="F180" s="21"/>
      <c r="G180" s="22"/>
      <c r="H180" s="22"/>
      <c r="I180" s="21"/>
      <c r="J180" s="22"/>
      <c r="K180" s="22"/>
      <c r="L180" s="23">
        <f t="shared" si="62"/>
        <v>0</v>
      </c>
      <c r="M180" s="22">
        <f t="shared" si="63"/>
        <v>0</v>
      </c>
      <c r="N180" s="24">
        <v>5</v>
      </c>
      <c r="O180" s="25">
        <v>1</v>
      </c>
      <c r="P180" s="25">
        <f t="shared" si="158"/>
        <v>0</v>
      </c>
      <c r="Q180" s="26"/>
      <c r="R180" s="26"/>
      <c r="S180" s="26"/>
      <c r="T180" s="27"/>
      <c r="U180" s="28">
        <f t="shared" si="64"/>
        <v>0</v>
      </c>
      <c r="V180" s="22"/>
      <c r="W180" s="22"/>
      <c r="X180" s="40"/>
      <c r="Y180" s="22"/>
      <c r="Z180" s="40"/>
      <c r="AA180" s="40"/>
      <c r="AB180" s="40"/>
      <c r="AC180" s="81" t="str">
        <f t="shared" si="154"/>
        <v/>
      </c>
      <c r="AD180" s="82" t="str">
        <f t="shared" si="155"/>
        <v/>
      </c>
      <c r="AE180" s="82" t="str">
        <f t="shared" si="156"/>
        <v/>
      </c>
    </row>
    <row r="181" spans="1:31" ht="14.25" customHeight="1" x14ac:dyDescent="0.2">
      <c r="A181" s="33">
        <f t="shared" ref="A181:B181" si="161">+A180</f>
        <v>44190</v>
      </c>
      <c r="B181" s="34">
        <f t="shared" si="161"/>
        <v>52</v>
      </c>
      <c r="C181" s="63">
        <f t="shared" si="61"/>
        <v>44190</v>
      </c>
      <c r="D181" s="19">
        <v>40</v>
      </c>
      <c r="E181" s="20"/>
      <c r="F181" s="21"/>
      <c r="G181" s="22"/>
      <c r="H181" s="22"/>
      <c r="I181" s="21"/>
      <c r="J181" s="22"/>
      <c r="K181" s="22"/>
      <c r="L181" s="23">
        <f t="shared" si="62"/>
        <v>0</v>
      </c>
      <c r="M181" s="22">
        <f t="shared" si="63"/>
        <v>0</v>
      </c>
      <c r="N181" s="24">
        <v>5</v>
      </c>
      <c r="O181" s="25">
        <v>1</v>
      </c>
      <c r="P181" s="25">
        <f t="shared" si="158"/>
        <v>0</v>
      </c>
      <c r="Q181" s="26"/>
      <c r="R181" s="26"/>
      <c r="S181" s="26"/>
      <c r="T181" s="27"/>
      <c r="U181" s="28">
        <f t="shared" si="64"/>
        <v>0</v>
      </c>
      <c r="V181" s="22"/>
      <c r="W181" s="22"/>
      <c r="X181" s="40"/>
      <c r="Y181" s="22"/>
      <c r="Z181" s="40"/>
      <c r="AA181" s="40"/>
      <c r="AB181" s="40"/>
      <c r="AC181" s="29" t="str">
        <f t="shared" si="154"/>
        <v/>
      </c>
      <c r="AD181" s="30" t="str">
        <f t="shared" si="155"/>
        <v/>
      </c>
      <c r="AE181" s="30" t="str">
        <f t="shared" si="156"/>
        <v/>
      </c>
    </row>
    <row r="182" spans="1:31" ht="14.25" customHeight="1" x14ac:dyDescent="0.2">
      <c r="A182" s="17">
        <f t="shared" ref="A182" si="162">+A177+1</f>
        <v>44191</v>
      </c>
      <c r="B182" s="18">
        <f t="shared" ref="B182" si="163">WEEKNUM(A182,2)</f>
        <v>52</v>
      </c>
      <c r="C182" s="61">
        <f t="shared" si="61"/>
        <v>44191</v>
      </c>
      <c r="D182" s="19">
        <v>41</v>
      </c>
      <c r="E182" s="20" t="s">
        <v>25</v>
      </c>
      <c r="F182" s="21">
        <v>44183.924456018503</v>
      </c>
      <c r="G182" s="22">
        <v>1992.7</v>
      </c>
      <c r="H182" s="22"/>
      <c r="I182" s="21">
        <v>44183.938750000001</v>
      </c>
      <c r="J182" s="22">
        <v>1996.2</v>
      </c>
      <c r="K182" s="22"/>
      <c r="L182" s="23">
        <f t="shared" si="62"/>
        <v>1.4293981497758068E-2</v>
      </c>
      <c r="M182" s="22">
        <f t="shared" si="63"/>
        <v>3.5</v>
      </c>
      <c r="N182" s="24">
        <v>5</v>
      </c>
      <c r="O182" s="25">
        <v>1</v>
      </c>
      <c r="P182" s="25">
        <f t="shared" ref="P182" si="164">+IF(J182&gt;0,O182*0.8,0)</f>
        <v>0.8</v>
      </c>
      <c r="Q182" s="26"/>
      <c r="R182" s="26"/>
      <c r="S182" s="26"/>
      <c r="T182" s="27"/>
      <c r="U182" s="83">
        <f t="shared" si="64"/>
        <v>16.7</v>
      </c>
      <c r="V182" s="22">
        <f t="shared" ref="V182" si="165">SUM(U182:U186)</f>
        <v>16.7</v>
      </c>
      <c r="W182" s="74">
        <f>+Tabla1[[#This Row],[RESULTADO DEL DÍA]]+W177</f>
        <v>2381.099999999999</v>
      </c>
      <c r="X182" s="22">
        <f>+X177+Tabla1[[#This Row],[Objetivo presupuestado]]</f>
        <v>3150</v>
      </c>
      <c r="Y182" s="22" t="str">
        <f t="shared" ref="Y182" si="166">IF(AF182=0,"0",10)</f>
        <v>0</v>
      </c>
      <c r="Z182" s="22" t="str">
        <f t="shared" ref="Z182" si="167">IF(AF182=0,"0",50)</f>
        <v>0</v>
      </c>
      <c r="AA182" s="27">
        <f t="shared" ref="AA182" si="168">+IFERROR(AF185/(AG185*-1),AF185)</f>
        <v>0</v>
      </c>
      <c r="AB182" s="75" t="str">
        <f t="shared" ref="AB182" si="169">+IFERROR(AF186/AF182,"0")</f>
        <v>0</v>
      </c>
      <c r="AC182" s="81">
        <f t="shared" ref="AC182:AC186" si="170">+IF(J182&gt;0,1,"")</f>
        <v>1</v>
      </c>
      <c r="AD182" s="82">
        <f t="shared" ref="AD182:AD186" si="171">+IF(M182&gt;0,M182,"")</f>
        <v>3.5</v>
      </c>
      <c r="AE182" s="82" t="str">
        <f t="shared" ref="AE182:AE186" si="172">+IF(M182&lt;0,M182,"")</f>
        <v/>
      </c>
    </row>
    <row r="183" spans="1:31" ht="14.25" customHeight="1" x14ac:dyDescent="0.2">
      <c r="A183" s="31">
        <f t="shared" ref="A183:B183" si="173">+A182</f>
        <v>44191</v>
      </c>
      <c r="B183" s="32">
        <f t="shared" si="173"/>
        <v>52</v>
      </c>
      <c r="C183" s="62">
        <f t="shared" si="61"/>
        <v>44191</v>
      </c>
      <c r="D183" s="19">
        <v>42</v>
      </c>
      <c r="E183" s="20"/>
      <c r="F183" s="21"/>
      <c r="G183" s="22"/>
      <c r="H183" s="22"/>
      <c r="I183" s="21"/>
      <c r="J183" s="22"/>
      <c r="K183" s="22"/>
      <c r="L183" s="23">
        <f t="shared" si="62"/>
        <v>0</v>
      </c>
      <c r="M183" s="22">
        <f t="shared" si="63"/>
        <v>0</v>
      </c>
      <c r="N183" s="24">
        <v>5</v>
      </c>
      <c r="O183" s="25">
        <v>1</v>
      </c>
      <c r="P183" s="25">
        <f t="shared" ref="P183:P186" si="174">+IF(J183&gt;0,O183*1,0)</f>
        <v>0</v>
      </c>
      <c r="Q183" s="26"/>
      <c r="R183" s="26"/>
      <c r="S183" s="26"/>
      <c r="T183" s="27"/>
      <c r="U183" s="28">
        <f t="shared" si="64"/>
        <v>0</v>
      </c>
      <c r="V183" s="22"/>
      <c r="W183" s="22"/>
      <c r="X183" s="40"/>
      <c r="Y183" s="22"/>
      <c r="Z183" s="40"/>
      <c r="AA183" s="73"/>
      <c r="AB183" s="73"/>
      <c r="AC183" s="81" t="str">
        <f t="shared" si="170"/>
        <v/>
      </c>
      <c r="AD183" s="82" t="str">
        <f t="shared" si="171"/>
        <v/>
      </c>
      <c r="AE183" s="82" t="str">
        <f t="shared" si="172"/>
        <v/>
      </c>
    </row>
    <row r="184" spans="1:31" ht="14.25" customHeight="1" x14ac:dyDescent="0.2">
      <c r="A184" s="31">
        <f t="shared" ref="A184:B184" si="175">+A183</f>
        <v>44191</v>
      </c>
      <c r="B184" s="32">
        <f t="shared" si="175"/>
        <v>52</v>
      </c>
      <c r="C184" s="62">
        <f t="shared" si="61"/>
        <v>44191</v>
      </c>
      <c r="D184" s="19">
        <v>43</v>
      </c>
      <c r="E184" s="20"/>
      <c r="F184" s="21"/>
      <c r="G184" s="22"/>
      <c r="H184" s="22"/>
      <c r="I184" s="21"/>
      <c r="J184" s="22"/>
      <c r="K184" s="22"/>
      <c r="L184" s="23">
        <f t="shared" si="62"/>
        <v>0</v>
      </c>
      <c r="M184" s="22">
        <f t="shared" si="63"/>
        <v>0</v>
      </c>
      <c r="N184" s="24">
        <v>5</v>
      </c>
      <c r="O184" s="25">
        <v>1</v>
      </c>
      <c r="P184" s="25">
        <f t="shared" si="174"/>
        <v>0</v>
      </c>
      <c r="Q184" s="26"/>
      <c r="R184" s="26"/>
      <c r="S184" s="26"/>
      <c r="T184" s="27"/>
      <c r="U184" s="28">
        <f t="shared" si="64"/>
        <v>0</v>
      </c>
      <c r="V184" s="22"/>
      <c r="W184" s="22"/>
      <c r="X184" s="40"/>
      <c r="Y184" s="22"/>
      <c r="Z184" s="40"/>
      <c r="AA184" s="40"/>
      <c r="AB184" s="40"/>
      <c r="AC184" s="81" t="str">
        <f t="shared" si="170"/>
        <v/>
      </c>
      <c r="AD184" s="82" t="str">
        <f t="shared" si="171"/>
        <v/>
      </c>
      <c r="AE184" s="82" t="str">
        <f t="shared" si="172"/>
        <v/>
      </c>
    </row>
    <row r="185" spans="1:31" ht="14.25" customHeight="1" x14ac:dyDescent="0.2">
      <c r="A185" s="31">
        <f t="shared" ref="A185:B185" si="176">+A184</f>
        <v>44191</v>
      </c>
      <c r="B185" s="32">
        <f t="shared" si="176"/>
        <v>52</v>
      </c>
      <c r="C185" s="62">
        <f t="shared" si="61"/>
        <v>44191</v>
      </c>
      <c r="D185" s="19">
        <v>44</v>
      </c>
      <c r="E185" s="20"/>
      <c r="F185" s="21"/>
      <c r="G185" s="22"/>
      <c r="H185" s="22"/>
      <c r="I185" s="21"/>
      <c r="J185" s="22"/>
      <c r="K185" s="22"/>
      <c r="L185" s="23">
        <f t="shared" si="62"/>
        <v>0</v>
      </c>
      <c r="M185" s="22">
        <f t="shared" si="63"/>
        <v>0</v>
      </c>
      <c r="N185" s="24">
        <v>5</v>
      </c>
      <c r="O185" s="25">
        <v>1</v>
      </c>
      <c r="P185" s="25">
        <f t="shared" si="174"/>
        <v>0</v>
      </c>
      <c r="Q185" s="26"/>
      <c r="R185" s="26"/>
      <c r="S185" s="26"/>
      <c r="T185" s="27"/>
      <c r="U185" s="28">
        <f t="shared" si="64"/>
        <v>0</v>
      </c>
      <c r="V185" s="22"/>
      <c r="W185" s="22"/>
      <c r="X185" s="40"/>
      <c r="Y185" s="22"/>
      <c r="Z185" s="40"/>
      <c r="AA185" s="40"/>
      <c r="AB185" s="40"/>
      <c r="AC185" s="81" t="str">
        <f t="shared" si="170"/>
        <v/>
      </c>
      <c r="AD185" s="82" t="str">
        <f t="shared" si="171"/>
        <v/>
      </c>
      <c r="AE185" s="82" t="str">
        <f t="shared" si="172"/>
        <v/>
      </c>
    </row>
    <row r="186" spans="1:31" ht="14.25" customHeight="1" x14ac:dyDescent="0.2">
      <c r="A186" s="33">
        <f t="shared" ref="A186:B186" si="177">+A185</f>
        <v>44191</v>
      </c>
      <c r="B186" s="34">
        <f t="shared" si="177"/>
        <v>52</v>
      </c>
      <c r="C186" s="63">
        <f t="shared" si="61"/>
        <v>44191</v>
      </c>
      <c r="D186" s="19">
        <v>45</v>
      </c>
      <c r="E186" s="20"/>
      <c r="F186" s="21"/>
      <c r="G186" s="22"/>
      <c r="H186" s="22"/>
      <c r="I186" s="21"/>
      <c r="J186" s="22"/>
      <c r="K186" s="22"/>
      <c r="L186" s="23">
        <f t="shared" si="62"/>
        <v>0</v>
      </c>
      <c r="M186" s="22">
        <f t="shared" si="63"/>
        <v>0</v>
      </c>
      <c r="N186" s="24">
        <v>5</v>
      </c>
      <c r="O186" s="25">
        <v>1</v>
      </c>
      <c r="P186" s="25">
        <f t="shared" si="174"/>
        <v>0</v>
      </c>
      <c r="Q186" s="26"/>
      <c r="R186" s="26"/>
      <c r="S186" s="26"/>
      <c r="T186" s="27"/>
      <c r="U186" s="28">
        <f t="shared" si="64"/>
        <v>0</v>
      </c>
      <c r="V186" s="22"/>
      <c r="W186" s="22"/>
      <c r="X186" s="40"/>
      <c r="Y186" s="22"/>
      <c r="Z186" s="40"/>
      <c r="AA186" s="40"/>
      <c r="AB186" s="40"/>
      <c r="AC186" s="29" t="str">
        <f t="shared" si="170"/>
        <v/>
      </c>
      <c r="AD186" s="30" t="str">
        <f t="shared" si="171"/>
        <v/>
      </c>
      <c r="AE186" s="30" t="str">
        <f t="shared" si="172"/>
        <v/>
      </c>
    </row>
    <row r="187" spans="1:31" ht="14.25" customHeight="1" x14ac:dyDescent="0.2">
      <c r="A187" s="17">
        <f t="shared" ref="A187" si="178">+A182+1</f>
        <v>44192</v>
      </c>
      <c r="B187" s="18">
        <f t="shared" ref="B187" si="179">WEEKNUM(A187,2)</f>
        <v>52</v>
      </c>
      <c r="C187" s="61">
        <f t="shared" si="61"/>
        <v>44192</v>
      </c>
      <c r="D187" s="19">
        <v>46</v>
      </c>
      <c r="E187" s="20" t="s">
        <v>25</v>
      </c>
      <c r="F187" s="21">
        <v>44183.966122685197</v>
      </c>
      <c r="G187" s="22">
        <v>1993.7</v>
      </c>
      <c r="H187" s="22"/>
      <c r="I187" s="21">
        <v>44183.980416666702</v>
      </c>
      <c r="J187" s="22">
        <v>1997.2</v>
      </c>
      <c r="K187" s="22"/>
      <c r="L187" s="23">
        <f t="shared" si="62"/>
        <v>1.4293981505034026E-2</v>
      </c>
      <c r="M187" s="22">
        <f t="shared" si="63"/>
        <v>3.5</v>
      </c>
      <c r="N187" s="24">
        <v>5</v>
      </c>
      <c r="O187" s="25">
        <v>1</v>
      </c>
      <c r="P187" s="25">
        <f t="shared" ref="P187" si="180">+IF(J187&gt;0,O187*0.8,0)</f>
        <v>0.8</v>
      </c>
      <c r="Q187" s="26"/>
      <c r="R187" s="26"/>
      <c r="S187" s="26"/>
      <c r="T187" s="27"/>
      <c r="U187" s="83">
        <f t="shared" si="64"/>
        <v>16.7</v>
      </c>
      <c r="V187" s="22">
        <f t="shared" ref="V187" si="181">SUM(U187:U191)</f>
        <v>16.7</v>
      </c>
      <c r="W187" s="74">
        <f>+Tabla1[[#This Row],[RESULTADO DEL DÍA]]+W182</f>
        <v>2397.7999999999988</v>
      </c>
      <c r="X187" s="22">
        <f>+X182+Tabla1[[#This Row],[Objetivo presupuestado]]</f>
        <v>3150</v>
      </c>
      <c r="Y187" s="22" t="str">
        <f t="shared" ref="Y187" si="182">IF(AF187=0,"0",10)</f>
        <v>0</v>
      </c>
      <c r="Z187" s="22" t="str">
        <f t="shared" ref="Z187" si="183">IF(AF187=0,"0",50)</f>
        <v>0</v>
      </c>
      <c r="AA187" s="27">
        <f t="shared" ref="AA187" si="184">+IFERROR(AF190/(AG190*-1),AF190)</f>
        <v>0</v>
      </c>
      <c r="AB187" s="75" t="str">
        <f t="shared" ref="AB187" si="185">+IFERROR(AF191/AF187,"0")</f>
        <v>0</v>
      </c>
      <c r="AC187" s="81">
        <f t="shared" ref="AC187:AC191" si="186">+IF(J187&gt;0,1,"")</f>
        <v>1</v>
      </c>
      <c r="AD187" s="82">
        <f t="shared" ref="AD187:AD191" si="187">+IF(M187&gt;0,M187,"")</f>
        <v>3.5</v>
      </c>
      <c r="AE187" s="82" t="str">
        <f t="shared" ref="AE187:AE191" si="188">+IF(M187&lt;0,M187,"")</f>
        <v/>
      </c>
    </row>
    <row r="188" spans="1:31" ht="14.25" customHeight="1" x14ac:dyDescent="0.2">
      <c r="A188" s="31">
        <f t="shared" ref="A188:B188" si="189">+A187</f>
        <v>44192</v>
      </c>
      <c r="B188" s="32">
        <f t="shared" si="189"/>
        <v>52</v>
      </c>
      <c r="C188" s="62">
        <f t="shared" si="61"/>
        <v>44192</v>
      </c>
      <c r="D188" s="19">
        <v>47</v>
      </c>
      <c r="E188" s="20"/>
      <c r="F188" s="21"/>
      <c r="G188" s="22"/>
      <c r="H188" s="22"/>
      <c r="I188" s="21"/>
      <c r="J188" s="22"/>
      <c r="K188" s="22"/>
      <c r="L188" s="23">
        <f t="shared" si="62"/>
        <v>0</v>
      </c>
      <c r="M188" s="22">
        <f t="shared" si="63"/>
        <v>0</v>
      </c>
      <c r="N188" s="24">
        <v>5</v>
      </c>
      <c r="O188" s="25">
        <v>1</v>
      </c>
      <c r="P188" s="25">
        <f t="shared" ref="P188:P191" si="190">+IF(J188&gt;0,O188*1,0)</f>
        <v>0</v>
      </c>
      <c r="Q188" s="26"/>
      <c r="R188" s="26"/>
      <c r="S188" s="26"/>
      <c r="T188" s="27"/>
      <c r="U188" s="28">
        <f t="shared" si="64"/>
        <v>0</v>
      </c>
      <c r="V188" s="22"/>
      <c r="W188" s="22"/>
      <c r="X188" s="40"/>
      <c r="Y188" s="22"/>
      <c r="Z188" s="40"/>
      <c r="AA188" s="73"/>
      <c r="AB188" s="73"/>
      <c r="AC188" s="81" t="str">
        <f t="shared" si="186"/>
        <v/>
      </c>
      <c r="AD188" s="82" t="str">
        <f t="shared" si="187"/>
        <v/>
      </c>
      <c r="AE188" s="82" t="str">
        <f t="shared" si="188"/>
        <v/>
      </c>
    </row>
    <row r="189" spans="1:31" ht="14.25" customHeight="1" x14ac:dyDescent="0.2">
      <c r="A189" s="31">
        <f t="shared" ref="A189:B189" si="191">+A188</f>
        <v>44192</v>
      </c>
      <c r="B189" s="32">
        <f t="shared" si="191"/>
        <v>52</v>
      </c>
      <c r="C189" s="62">
        <f t="shared" si="61"/>
        <v>44192</v>
      </c>
      <c r="D189" s="19">
        <v>48</v>
      </c>
      <c r="E189" s="20"/>
      <c r="F189" s="21"/>
      <c r="G189" s="22"/>
      <c r="H189" s="22"/>
      <c r="I189" s="21"/>
      <c r="J189" s="22"/>
      <c r="K189" s="22"/>
      <c r="L189" s="23">
        <f t="shared" si="62"/>
        <v>0</v>
      </c>
      <c r="M189" s="22">
        <f t="shared" si="63"/>
        <v>0</v>
      </c>
      <c r="N189" s="24">
        <v>5</v>
      </c>
      <c r="O189" s="25">
        <v>1</v>
      </c>
      <c r="P189" s="25">
        <f t="shared" si="190"/>
        <v>0</v>
      </c>
      <c r="Q189" s="26"/>
      <c r="R189" s="26"/>
      <c r="S189" s="26"/>
      <c r="T189" s="27"/>
      <c r="U189" s="28">
        <f t="shared" si="64"/>
        <v>0</v>
      </c>
      <c r="V189" s="22"/>
      <c r="W189" s="22"/>
      <c r="X189" s="40"/>
      <c r="Y189" s="22"/>
      <c r="Z189" s="40"/>
      <c r="AA189" s="40"/>
      <c r="AB189" s="40"/>
      <c r="AC189" s="81" t="str">
        <f t="shared" si="186"/>
        <v/>
      </c>
      <c r="AD189" s="82" t="str">
        <f t="shared" si="187"/>
        <v/>
      </c>
      <c r="AE189" s="82" t="str">
        <f t="shared" si="188"/>
        <v/>
      </c>
    </row>
    <row r="190" spans="1:31" ht="14.25" customHeight="1" x14ac:dyDescent="0.2">
      <c r="A190" s="31">
        <f t="shared" ref="A190:B190" si="192">+A189</f>
        <v>44192</v>
      </c>
      <c r="B190" s="32">
        <f t="shared" si="192"/>
        <v>52</v>
      </c>
      <c r="C190" s="62">
        <f t="shared" si="61"/>
        <v>44192</v>
      </c>
      <c r="D190" s="19">
        <v>49</v>
      </c>
      <c r="E190" s="20"/>
      <c r="F190" s="21"/>
      <c r="G190" s="22"/>
      <c r="H190" s="22"/>
      <c r="I190" s="21"/>
      <c r="J190" s="22"/>
      <c r="K190" s="22"/>
      <c r="L190" s="23">
        <f t="shared" si="62"/>
        <v>0</v>
      </c>
      <c r="M190" s="22">
        <f t="shared" si="63"/>
        <v>0</v>
      </c>
      <c r="N190" s="24">
        <v>5</v>
      </c>
      <c r="O190" s="25">
        <v>1</v>
      </c>
      <c r="P190" s="25">
        <f t="shared" si="190"/>
        <v>0</v>
      </c>
      <c r="Q190" s="26"/>
      <c r="R190" s="26"/>
      <c r="S190" s="26"/>
      <c r="T190" s="27"/>
      <c r="U190" s="28">
        <f t="shared" si="64"/>
        <v>0</v>
      </c>
      <c r="V190" s="22"/>
      <c r="W190" s="22"/>
      <c r="X190" s="40"/>
      <c r="Y190" s="22"/>
      <c r="Z190" s="40"/>
      <c r="AA190" s="40"/>
      <c r="AB190" s="40"/>
      <c r="AC190" s="81" t="str">
        <f t="shared" si="186"/>
        <v/>
      </c>
      <c r="AD190" s="82" t="str">
        <f t="shared" si="187"/>
        <v/>
      </c>
      <c r="AE190" s="82" t="str">
        <f t="shared" si="188"/>
        <v/>
      </c>
    </row>
    <row r="191" spans="1:31" ht="14.25" customHeight="1" x14ac:dyDescent="0.2">
      <c r="A191" s="33">
        <f t="shared" ref="A191:B191" si="193">+A190</f>
        <v>44192</v>
      </c>
      <c r="B191" s="34">
        <f t="shared" si="193"/>
        <v>52</v>
      </c>
      <c r="C191" s="63">
        <f t="shared" si="61"/>
        <v>44192</v>
      </c>
      <c r="D191" s="19">
        <v>50</v>
      </c>
      <c r="E191" s="20"/>
      <c r="F191" s="21"/>
      <c r="G191" s="22"/>
      <c r="H191" s="22"/>
      <c r="I191" s="21"/>
      <c r="J191" s="22"/>
      <c r="K191" s="22"/>
      <c r="L191" s="23">
        <f t="shared" si="62"/>
        <v>0</v>
      </c>
      <c r="M191" s="22">
        <f t="shared" si="63"/>
        <v>0</v>
      </c>
      <c r="N191" s="24">
        <v>5</v>
      </c>
      <c r="O191" s="25">
        <v>1</v>
      </c>
      <c r="P191" s="25">
        <f t="shared" si="190"/>
        <v>0</v>
      </c>
      <c r="Q191" s="26"/>
      <c r="R191" s="26"/>
      <c r="S191" s="26"/>
      <c r="T191" s="27"/>
      <c r="U191" s="28">
        <f t="shared" si="64"/>
        <v>0</v>
      </c>
      <c r="V191" s="22"/>
      <c r="W191" s="22"/>
      <c r="X191" s="40"/>
      <c r="Y191" s="22"/>
      <c r="Z191" s="40"/>
      <c r="AA191" s="40"/>
      <c r="AB191" s="40"/>
      <c r="AC191" s="29" t="str">
        <f t="shared" si="186"/>
        <v/>
      </c>
      <c r="AD191" s="30" t="str">
        <f t="shared" si="187"/>
        <v/>
      </c>
      <c r="AE191" s="30" t="str">
        <f t="shared" si="188"/>
        <v/>
      </c>
    </row>
    <row r="192" spans="1:31" ht="14.25" customHeight="1" x14ac:dyDescent="0.2">
      <c r="A192" s="17">
        <f t="shared" ref="A192" si="194">+A187+1</f>
        <v>44193</v>
      </c>
      <c r="B192" s="18">
        <f t="shared" ref="B192" si="195">WEEKNUM(A192,2)</f>
        <v>53</v>
      </c>
      <c r="C192" s="61">
        <f t="shared" si="61"/>
        <v>44193</v>
      </c>
      <c r="D192" s="19">
        <v>51</v>
      </c>
      <c r="E192" s="20" t="s">
        <v>25</v>
      </c>
      <c r="F192" s="21">
        <v>44184.007789351803</v>
      </c>
      <c r="G192" s="22">
        <v>1994.7</v>
      </c>
      <c r="H192" s="22"/>
      <c r="I192" s="21">
        <v>44184.022083333301</v>
      </c>
      <c r="J192" s="22">
        <v>1998.2</v>
      </c>
      <c r="K192" s="22"/>
      <c r="L192" s="23">
        <f t="shared" si="62"/>
        <v>1.4293981497758068E-2</v>
      </c>
      <c r="M192" s="22">
        <f t="shared" si="63"/>
        <v>3.5</v>
      </c>
      <c r="N192" s="24">
        <v>5</v>
      </c>
      <c r="O192" s="25">
        <v>1</v>
      </c>
      <c r="P192" s="25">
        <f t="shared" ref="P192" si="196">+IF(J192&gt;0,O192*0.8,0)</f>
        <v>0.8</v>
      </c>
      <c r="Q192" s="26"/>
      <c r="R192" s="26"/>
      <c r="S192" s="26"/>
      <c r="T192" s="27"/>
      <c r="U192" s="83">
        <f t="shared" si="64"/>
        <v>16.7</v>
      </c>
      <c r="V192" s="22">
        <f t="shared" ref="V192" si="197">SUM(U192:U196)</f>
        <v>16.7</v>
      </c>
      <c r="W192" s="74">
        <f>+Tabla1[[#This Row],[RESULTADO DEL DÍA]]+W187</f>
        <v>2414.4999999999986</v>
      </c>
      <c r="X192" s="22">
        <f>+X187+Tabla1[[#This Row],[Objetivo presupuestado]]</f>
        <v>3150</v>
      </c>
      <c r="Y192" s="22" t="str">
        <f t="shared" ref="Y192" si="198">IF(AF192=0,"0",10)</f>
        <v>0</v>
      </c>
      <c r="Z192" s="22" t="str">
        <f t="shared" ref="Z192" si="199">IF(AF192=0,"0",50)</f>
        <v>0</v>
      </c>
      <c r="AA192" s="27">
        <f t="shared" ref="AA192" si="200">+IFERROR(AF195/(AG195*-1),AF195)</f>
        <v>0</v>
      </c>
      <c r="AB192" s="75" t="str">
        <f t="shared" ref="AB192" si="201">+IFERROR(AF196/AF192,"0")</f>
        <v>0</v>
      </c>
      <c r="AC192" s="81">
        <f t="shared" ref="AC192:AC196" si="202">+IF(J192&gt;0,1,"")</f>
        <v>1</v>
      </c>
      <c r="AD192" s="82">
        <f t="shared" ref="AD192:AD196" si="203">+IF(M192&gt;0,M192,"")</f>
        <v>3.5</v>
      </c>
      <c r="AE192" s="82" t="str">
        <f t="shared" ref="AE192:AE196" si="204">+IF(M192&lt;0,M192,"")</f>
        <v/>
      </c>
    </row>
    <row r="193" spans="1:31" ht="14.25" customHeight="1" x14ac:dyDescent="0.2">
      <c r="A193" s="31">
        <f t="shared" ref="A193:B193" si="205">+A192</f>
        <v>44193</v>
      </c>
      <c r="B193" s="32">
        <f t="shared" si="205"/>
        <v>53</v>
      </c>
      <c r="C193" s="62">
        <f t="shared" si="61"/>
        <v>44193</v>
      </c>
      <c r="D193" s="19">
        <v>52</v>
      </c>
      <c r="E193" s="20"/>
      <c r="F193" s="21"/>
      <c r="G193" s="22"/>
      <c r="H193" s="22"/>
      <c r="I193" s="21"/>
      <c r="J193" s="22"/>
      <c r="K193" s="22"/>
      <c r="L193" s="23">
        <f t="shared" si="62"/>
        <v>0</v>
      </c>
      <c r="M193" s="22">
        <f t="shared" si="63"/>
        <v>0</v>
      </c>
      <c r="N193" s="24">
        <v>5</v>
      </c>
      <c r="O193" s="25">
        <v>1</v>
      </c>
      <c r="P193" s="25">
        <f t="shared" ref="P193:P196" si="206">+IF(J193&gt;0,O193*1,0)</f>
        <v>0</v>
      </c>
      <c r="Q193" s="26"/>
      <c r="R193" s="26"/>
      <c r="S193" s="26"/>
      <c r="T193" s="27"/>
      <c r="U193" s="28">
        <f t="shared" si="64"/>
        <v>0</v>
      </c>
      <c r="V193" s="22"/>
      <c r="W193" s="22"/>
      <c r="X193" s="40"/>
      <c r="Y193" s="22"/>
      <c r="Z193" s="40"/>
      <c r="AA193" s="73"/>
      <c r="AB193" s="73"/>
      <c r="AC193" s="81" t="str">
        <f t="shared" si="202"/>
        <v/>
      </c>
      <c r="AD193" s="82" t="str">
        <f t="shared" si="203"/>
        <v/>
      </c>
      <c r="AE193" s="82" t="str">
        <f t="shared" si="204"/>
        <v/>
      </c>
    </row>
    <row r="194" spans="1:31" ht="14.25" customHeight="1" x14ac:dyDescent="0.2">
      <c r="A194" s="31">
        <f t="shared" ref="A194:B194" si="207">+A193</f>
        <v>44193</v>
      </c>
      <c r="B194" s="32">
        <f t="shared" si="207"/>
        <v>53</v>
      </c>
      <c r="C194" s="62">
        <f t="shared" si="61"/>
        <v>44193</v>
      </c>
      <c r="D194" s="19">
        <v>53</v>
      </c>
      <c r="E194" s="20"/>
      <c r="F194" s="21"/>
      <c r="G194" s="22"/>
      <c r="H194" s="22"/>
      <c r="I194" s="21"/>
      <c r="J194" s="22"/>
      <c r="K194" s="22"/>
      <c r="L194" s="23">
        <f t="shared" si="62"/>
        <v>0</v>
      </c>
      <c r="M194" s="22">
        <f t="shared" si="63"/>
        <v>0</v>
      </c>
      <c r="N194" s="24">
        <v>5</v>
      </c>
      <c r="O194" s="25">
        <v>1</v>
      </c>
      <c r="P194" s="25">
        <f t="shared" si="206"/>
        <v>0</v>
      </c>
      <c r="Q194" s="26"/>
      <c r="R194" s="26"/>
      <c r="S194" s="26"/>
      <c r="T194" s="27"/>
      <c r="U194" s="28">
        <f t="shared" si="64"/>
        <v>0</v>
      </c>
      <c r="V194" s="22"/>
      <c r="W194" s="22"/>
      <c r="X194" s="40"/>
      <c r="Y194" s="22"/>
      <c r="Z194" s="40"/>
      <c r="AA194" s="40"/>
      <c r="AB194" s="40"/>
      <c r="AC194" s="81" t="str">
        <f t="shared" si="202"/>
        <v/>
      </c>
      <c r="AD194" s="82" t="str">
        <f t="shared" si="203"/>
        <v/>
      </c>
      <c r="AE194" s="82" t="str">
        <f t="shared" si="204"/>
        <v/>
      </c>
    </row>
    <row r="195" spans="1:31" ht="14.25" customHeight="1" x14ac:dyDescent="0.2">
      <c r="A195" s="31">
        <f t="shared" ref="A195:B195" si="208">+A194</f>
        <v>44193</v>
      </c>
      <c r="B195" s="32">
        <f t="shared" si="208"/>
        <v>53</v>
      </c>
      <c r="C195" s="62">
        <f t="shared" si="61"/>
        <v>44193</v>
      </c>
      <c r="D195" s="19">
        <v>54</v>
      </c>
      <c r="E195" s="20"/>
      <c r="F195" s="21"/>
      <c r="G195" s="22"/>
      <c r="H195" s="22"/>
      <c r="I195" s="21"/>
      <c r="J195" s="22"/>
      <c r="K195" s="22"/>
      <c r="L195" s="23">
        <f t="shared" si="62"/>
        <v>0</v>
      </c>
      <c r="M195" s="22">
        <f t="shared" si="63"/>
        <v>0</v>
      </c>
      <c r="N195" s="24">
        <v>5</v>
      </c>
      <c r="O195" s="25">
        <v>1</v>
      </c>
      <c r="P195" s="25">
        <f t="shared" si="206"/>
        <v>0</v>
      </c>
      <c r="Q195" s="26"/>
      <c r="R195" s="26"/>
      <c r="S195" s="26"/>
      <c r="T195" s="27"/>
      <c r="U195" s="28">
        <f t="shared" si="64"/>
        <v>0</v>
      </c>
      <c r="V195" s="22"/>
      <c r="W195" s="22"/>
      <c r="X195" s="40"/>
      <c r="Y195" s="22"/>
      <c r="Z195" s="40"/>
      <c r="AA195" s="40"/>
      <c r="AB195" s="40"/>
      <c r="AC195" s="81" t="str">
        <f t="shared" si="202"/>
        <v/>
      </c>
      <c r="AD195" s="82" t="str">
        <f t="shared" si="203"/>
        <v/>
      </c>
      <c r="AE195" s="82" t="str">
        <f t="shared" si="204"/>
        <v/>
      </c>
    </row>
    <row r="196" spans="1:31" ht="14.25" customHeight="1" x14ac:dyDescent="0.2">
      <c r="A196" s="33">
        <f t="shared" ref="A196:B196" si="209">+A195</f>
        <v>44193</v>
      </c>
      <c r="B196" s="34">
        <f t="shared" si="209"/>
        <v>53</v>
      </c>
      <c r="C196" s="63">
        <f t="shared" si="61"/>
        <v>44193</v>
      </c>
      <c r="D196" s="19">
        <v>55</v>
      </c>
      <c r="E196" s="20"/>
      <c r="F196" s="21"/>
      <c r="G196" s="22"/>
      <c r="H196" s="22"/>
      <c r="I196" s="21"/>
      <c r="J196" s="22"/>
      <c r="K196" s="22"/>
      <c r="L196" s="23">
        <f t="shared" si="62"/>
        <v>0</v>
      </c>
      <c r="M196" s="22">
        <f t="shared" si="63"/>
        <v>0</v>
      </c>
      <c r="N196" s="24">
        <v>5</v>
      </c>
      <c r="O196" s="25">
        <v>1</v>
      </c>
      <c r="P196" s="25">
        <f t="shared" si="206"/>
        <v>0</v>
      </c>
      <c r="Q196" s="26"/>
      <c r="R196" s="26"/>
      <c r="S196" s="26"/>
      <c r="T196" s="27"/>
      <c r="U196" s="28">
        <f t="shared" si="64"/>
        <v>0</v>
      </c>
      <c r="V196" s="22"/>
      <c r="W196" s="22"/>
      <c r="X196" s="40"/>
      <c r="Y196" s="22"/>
      <c r="Z196" s="40"/>
      <c r="AA196" s="40"/>
      <c r="AB196" s="40"/>
      <c r="AC196" s="29" t="str">
        <f t="shared" si="202"/>
        <v/>
      </c>
      <c r="AD196" s="30" t="str">
        <f t="shared" si="203"/>
        <v/>
      </c>
      <c r="AE196" s="30" t="str">
        <f t="shared" si="204"/>
        <v/>
      </c>
    </row>
    <row r="197" spans="1:31" ht="14.25" customHeight="1" x14ac:dyDescent="0.2">
      <c r="A197" s="17">
        <f t="shared" ref="A197" si="210">+A192+1</f>
        <v>44194</v>
      </c>
      <c r="B197" s="18">
        <f t="shared" ref="B197" si="211">WEEKNUM(A197,2)</f>
        <v>53</v>
      </c>
      <c r="C197" s="61">
        <f t="shared" si="61"/>
        <v>44194</v>
      </c>
      <c r="D197" s="19">
        <v>56</v>
      </c>
      <c r="E197" s="20" t="s">
        <v>25</v>
      </c>
      <c r="F197" s="21">
        <v>44184.049456018503</v>
      </c>
      <c r="G197" s="22">
        <v>1995.7</v>
      </c>
      <c r="H197" s="22"/>
      <c r="I197" s="21">
        <v>44184.063750000001</v>
      </c>
      <c r="J197" s="22">
        <v>1999.2</v>
      </c>
      <c r="K197" s="22"/>
      <c r="L197" s="23">
        <f t="shared" si="62"/>
        <v>1.4293981497758068E-2</v>
      </c>
      <c r="M197" s="22">
        <f t="shared" si="63"/>
        <v>3.5</v>
      </c>
      <c r="N197" s="24">
        <v>5</v>
      </c>
      <c r="O197" s="25">
        <v>1</v>
      </c>
      <c r="P197" s="25">
        <f t="shared" ref="P197" si="212">+IF(J197&gt;0,O197*0.8,0)</f>
        <v>0.8</v>
      </c>
      <c r="Q197" s="26"/>
      <c r="R197" s="26"/>
      <c r="S197" s="26"/>
      <c r="T197" s="27"/>
      <c r="U197" s="83">
        <f t="shared" si="64"/>
        <v>16.7</v>
      </c>
      <c r="V197" s="22">
        <f t="shared" ref="V197" si="213">SUM(U197:U201)</f>
        <v>16.7</v>
      </c>
      <c r="W197" s="74">
        <f>+Tabla1[[#This Row],[RESULTADO DEL DÍA]]+W192</f>
        <v>2431.1999999999985</v>
      </c>
      <c r="X197" s="22">
        <f>+X192+Tabla1[[#This Row],[Objetivo presupuestado]]</f>
        <v>3150</v>
      </c>
      <c r="Y197" s="22" t="str">
        <f t="shared" ref="Y197" si="214">IF(AF197=0,"0",10)</f>
        <v>0</v>
      </c>
      <c r="Z197" s="22" t="str">
        <f t="shared" ref="Z197" si="215">IF(AF197=0,"0",50)</f>
        <v>0</v>
      </c>
      <c r="AA197" s="27">
        <f t="shared" ref="AA197" si="216">+IFERROR(AF200/(AG200*-1),AF200)</f>
        <v>0</v>
      </c>
      <c r="AB197" s="75" t="str">
        <f t="shared" ref="AB197" si="217">+IFERROR(AF201/AF197,"0")</f>
        <v>0</v>
      </c>
      <c r="AC197" s="81">
        <f t="shared" ref="AC197:AC201" si="218">+IF(J197&gt;0,1,"")</f>
        <v>1</v>
      </c>
      <c r="AD197" s="82">
        <f t="shared" ref="AD197:AD201" si="219">+IF(M197&gt;0,M197,"")</f>
        <v>3.5</v>
      </c>
      <c r="AE197" s="82" t="str">
        <f t="shared" ref="AE197:AE201" si="220">+IF(M197&lt;0,M197,"")</f>
        <v/>
      </c>
    </row>
    <row r="198" spans="1:31" ht="14.25" customHeight="1" x14ac:dyDescent="0.2">
      <c r="A198" s="31">
        <f t="shared" ref="A198:B198" si="221">+A197</f>
        <v>44194</v>
      </c>
      <c r="B198" s="32">
        <f t="shared" si="221"/>
        <v>53</v>
      </c>
      <c r="C198" s="62">
        <f t="shared" si="61"/>
        <v>44194</v>
      </c>
      <c r="D198" s="19">
        <v>57</v>
      </c>
      <c r="E198" s="20"/>
      <c r="F198" s="21"/>
      <c r="G198" s="22"/>
      <c r="H198" s="22"/>
      <c r="I198" s="21"/>
      <c r="J198" s="22"/>
      <c r="K198" s="22"/>
      <c r="L198" s="23">
        <f t="shared" si="62"/>
        <v>0</v>
      </c>
      <c r="M198" s="22">
        <f t="shared" si="63"/>
        <v>0</v>
      </c>
      <c r="N198" s="24">
        <v>5</v>
      </c>
      <c r="O198" s="25">
        <v>1</v>
      </c>
      <c r="P198" s="25">
        <f t="shared" ref="P198:P201" si="222">+IF(J198&gt;0,O198*1,0)</f>
        <v>0</v>
      </c>
      <c r="Q198" s="26"/>
      <c r="R198" s="26"/>
      <c r="S198" s="26"/>
      <c r="T198" s="27"/>
      <c r="U198" s="28">
        <f t="shared" si="64"/>
        <v>0</v>
      </c>
      <c r="V198" s="22"/>
      <c r="W198" s="22"/>
      <c r="X198" s="40"/>
      <c r="Y198" s="22"/>
      <c r="Z198" s="40"/>
      <c r="AA198" s="73"/>
      <c r="AB198" s="73"/>
      <c r="AC198" s="81" t="str">
        <f t="shared" si="218"/>
        <v/>
      </c>
      <c r="AD198" s="82" t="str">
        <f t="shared" si="219"/>
        <v/>
      </c>
      <c r="AE198" s="82" t="str">
        <f t="shared" si="220"/>
        <v/>
      </c>
    </row>
    <row r="199" spans="1:31" ht="14.25" customHeight="1" x14ac:dyDescent="0.2">
      <c r="A199" s="31">
        <f t="shared" ref="A199:B199" si="223">+A198</f>
        <v>44194</v>
      </c>
      <c r="B199" s="32">
        <f t="shared" si="223"/>
        <v>53</v>
      </c>
      <c r="C199" s="62">
        <f t="shared" si="61"/>
        <v>44194</v>
      </c>
      <c r="D199" s="19">
        <v>58</v>
      </c>
      <c r="E199" s="20"/>
      <c r="F199" s="21"/>
      <c r="G199" s="22"/>
      <c r="H199" s="22"/>
      <c r="I199" s="21"/>
      <c r="J199" s="22"/>
      <c r="K199" s="22"/>
      <c r="L199" s="23">
        <f t="shared" si="62"/>
        <v>0</v>
      </c>
      <c r="M199" s="22">
        <f t="shared" si="63"/>
        <v>0</v>
      </c>
      <c r="N199" s="24">
        <v>5</v>
      </c>
      <c r="O199" s="25">
        <v>1</v>
      </c>
      <c r="P199" s="25">
        <f t="shared" si="222"/>
        <v>0</v>
      </c>
      <c r="Q199" s="26"/>
      <c r="R199" s="26"/>
      <c r="S199" s="26"/>
      <c r="T199" s="27"/>
      <c r="U199" s="28">
        <f t="shared" si="64"/>
        <v>0</v>
      </c>
      <c r="V199" s="22"/>
      <c r="W199" s="22"/>
      <c r="X199" s="40"/>
      <c r="Y199" s="22"/>
      <c r="Z199" s="40"/>
      <c r="AA199" s="40"/>
      <c r="AB199" s="40"/>
      <c r="AC199" s="81" t="str">
        <f t="shared" si="218"/>
        <v/>
      </c>
      <c r="AD199" s="82" t="str">
        <f t="shared" si="219"/>
        <v/>
      </c>
      <c r="AE199" s="82" t="str">
        <f t="shared" si="220"/>
        <v/>
      </c>
    </row>
    <row r="200" spans="1:31" ht="14.25" customHeight="1" x14ac:dyDescent="0.2">
      <c r="A200" s="31">
        <f t="shared" ref="A200:B200" si="224">+A199</f>
        <v>44194</v>
      </c>
      <c r="B200" s="32">
        <f t="shared" si="224"/>
        <v>53</v>
      </c>
      <c r="C200" s="62">
        <f t="shared" si="61"/>
        <v>44194</v>
      </c>
      <c r="D200" s="19">
        <v>59</v>
      </c>
      <c r="E200" s="20"/>
      <c r="F200" s="21"/>
      <c r="G200" s="22"/>
      <c r="H200" s="22"/>
      <c r="I200" s="21"/>
      <c r="J200" s="22"/>
      <c r="K200" s="22"/>
      <c r="L200" s="23">
        <f t="shared" si="62"/>
        <v>0</v>
      </c>
      <c r="M200" s="22">
        <f t="shared" si="63"/>
        <v>0</v>
      </c>
      <c r="N200" s="24">
        <v>5</v>
      </c>
      <c r="O200" s="25">
        <v>1</v>
      </c>
      <c r="P200" s="25">
        <f t="shared" si="222"/>
        <v>0</v>
      </c>
      <c r="Q200" s="26"/>
      <c r="R200" s="26"/>
      <c r="S200" s="26"/>
      <c r="T200" s="27"/>
      <c r="U200" s="28">
        <f t="shared" si="64"/>
        <v>0</v>
      </c>
      <c r="V200" s="22"/>
      <c r="W200" s="22"/>
      <c r="X200" s="40"/>
      <c r="Y200" s="22"/>
      <c r="Z200" s="40"/>
      <c r="AA200" s="40"/>
      <c r="AB200" s="40"/>
      <c r="AC200" s="81" t="str">
        <f t="shared" si="218"/>
        <v/>
      </c>
      <c r="AD200" s="82" t="str">
        <f t="shared" si="219"/>
        <v/>
      </c>
      <c r="AE200" s="82" t="str">
        <f t="shared" si="220"/>
        <v/>
      </c>
    </row>
    <row r="201" spans="1:31" ht="14.25" customHeight="1" x14ac:dyDescent="0.2">
      <c r="A201" s="33">
        <f t="shared" ref="A201:B201" si="225">+A200</f>
        <v>44194</v>
      </c>
      <c r="B201" s="34">
        <f t="shared" si="225"/>
        <v>53</v>
      </c>
      <c r="C201" s="63">
        <f t="shared" si="61"/>
        <v>44194</v>
      </c>
      <c r="D201" s="19">
        <v>60</v>
      </c>
      <c r="E201" s="20"/>
      <c r="F201" s="21"/>
      <c r="G201" s="22"/>
      <c r="H201" s="22"/>
      <c r="I201" s="21"/>
      <c r="J201" s="22"/>
      <c r="K201" s="22"/>
      <c r="L201" s="23">
        <f t="shared" si="62"/>
        <v>0</v>
      </c>
      <c r="M201" s="22">
        <f t="shared" si="63"/>
        <v>0</v>
      </c>
      <c r="N201" s="24">
        <v>5</v>
      </c>
      <c r="O201" s="25">
        <v>1</v>
      </c>
      <c r="P201" s="25">
        <f t="shared" si="222"/>
        <v>0</v>
      </c>
      <c r="Q201" s="26"/>
      <c r="R201" s="26"/>
      <c r="S201" s="26"/>
      <c r="T201" s="27"/>
      <c r="U201" s="28">
        <f t="shared" si="64"/>
        <v>0</v>
      </c>
      <c r="V201" s="22"/>
      <c r="W201" s="22"/>
      <c r="X201" s="40"/>
      <c r="Y201" s="22"/>
      <c r="Z201" s="40"/>
      <c r="AA201" s="40"/>
      <c r="AB201" s="40"/>
      <c r="AC201" s="29" t="str">
        <f t="shared" si="218"/>
        <v/>
      </c>
      <c r="AD201" s="30" t="str">
        <f t="shared" si="219"/>
        <v/>
      </c>
      <c r="AE201" s="30" t="str">
        <f t="shared" si="220"/>
        <v/>
      </c>
    </row>
    <row r="202" spans="1:31" ht="14.25" customHeight="1" x14ac:dyDescent="0.2">
      <c r="A202" s="17">
        <f t="shared" ref="A202" si="226">+A197+1</f>
        <v>44195</v>
      </c>
      <c r="B202" s="18">
        <f t="shared" ref="B202" si="227">WEEKNUM(A202,2)</f>
        <v>53</v>
      </c>
      <c r="C202" s="61">
        <f t="shared" si="61"/>
        <v>44195</v>
      </c>
      <c r="D202" s="19">
        <v>61</v>
      </c>
      <c r="E202" s="20" t="s">
        <v>25</v>
      </c>
      <c r="F202" s="21">
        <v>44184.091122685197</v>
      </c>
      <c r="G202" s="22">
        <v>1996.7</v>
      </c>
      <c r="H202" s="22"/>
      <c r="I202" s="21">
        <v>44184.105416666702</v>
      </c>
      <c r="J202" s="22">
        <v>2000.2</v>
      </c>
      <c r="K202" s="22"/>
      <c r="L202" s="23">
        <f t="shared" si="62"/>
        <v>1.4293981505034026E-2</v>
      </c>
      <c r="M202" s="22">
        <f t="shared" si="63"/>
        <v>3.5</v>
      </c>
      <c r="N202" s="24">
        <v>5</v>
      </c>
      <c r="O202" s="25">
        <v>1</v>
      </c>
      <c r="P202" s="25">
        <f t="shared" ref="P202" si="228">+IF(J202&gt;0,O202*0.8,0)</f>
        <v>0.8</v>
      </c>
      <c r="Q202" s="26"/>
      <c r="R202" s="26"/>
      <c r="S202" s="26"/>
      <c r="T202" s="27"/>
      <c r="U202" s="83">
        <f t="shared" si="64"/>
        <v>16.7</v>
      </c>
      <c r="V202" s="22">
        <f t="shared" ref="V202" si="229">SUM(U202:U206)</f>
        <v>16.7</v>
      </c>
      <c r="W202" s="74">
        <f>+Tabla1[[#This Row],[RESULTADO DEL DÍA]]+W197</f>
        <v>2447.8999999999983</v>
      </c>
      <c r="X202" s="22">
        <f>+X197+Tabla1[[#This Row],[Objetivo presupuestado]]</f>
        <v>3150</v>
      </c>
      <c r="Y202" s="22" t="str">
        <f t="shared" ref="Y202" si="230">IF(AF202=0,"0",10)</f>
        <v>0</v>
      </c>
      <c r="Z202" s="22" t="str">
        <f t="shared" ref="Z202" si="231">IF(AF202=0,"0",50)</f>
        <v>0</v>
      </c>
      <c r="AA202" s="27">
        <f t="shared" ref="AA202" si="232">+IFERROR(AF205/(AG205*-1),AF205)</f>
        <v>0</v>
      </c>
      <c r="AB202" s="75" t="str">
        <f t="shared" ref="AB202" si="233">+IFERROR(AF206/AF202,"0")</f>
        <v>0</v>
      </c>
      <c r="AC202" s="81">
        <f t="shared" ref="AC202:AC206" si="234">+IF(J202&gt;0,1,"")</f>
        <v>1</v>
      </c>
      <c r="AD202" s="82">
        <f t="shared" ref="AD202:AD206" si="235">+IF(M202&gt;0,M202,"")</f>
        <v>3.5</v>
      </c>
      <c r="AE202" s="82" t="str">
        <f t="shared" ref="AE202:AE206" si="236">+IF(M202&lt;0,M202,"")</f>
        <v/>
      </c>
    </row>
    <row r="203" spans="1:31" ht="14.25" customHeight="1" x14ac:dyDescent="0.2">
      <c r="A203" s="31">
        <f t="shared" ref="A203:B203" si="237">+A202</f>
        <v>44195</v>
      </c>
      <c r="B203" s="32">
        <f t="shared" si="237"/>
        <v>53</v>
      </c>
      <c r="C203" s="62">
        <f t="shared" si="61"/>
        <v>44195</v>
      </c>
      <c r="D203" s="19">
        <v>62</v>
      </c>
      <c r="E203" s="20"/>
      <c r="F203" s="21"/>
      <c r="G203" s="22"/>
      <c r="H203" s="22"/>
      <c r="I203" s="21"/>
      <c r="J203" s="22"/>
      <c r="K203" s="22"/>
      <c r="L203" s="23">
        <f t="shared" si="62"/>
        <v>0</v>
      </c>
      <c r="M203" s="22">
        <f t="shared" si="63"/>
        <v>0</v>
      </c>
      <c r="N203" s="24">
        <v>5</v>
      </c>
      <c r="O203" s="25">
        <v>1</v>
      </c>
      <c r="P203" s="25">
        <f t="shared" ref="P203:P206" si="238">+IF(J203&gt;0,O203*1,0)</f>
        <v>0</v>
      </c>
      <c r="Q203" s="26"/>
      <c r="R203" s="26"/>
      <c r="S203" s="26"/>
      <c r="T203" s="27"/>
      <c r="U203" s="28">
        <f t="shared" si="64"/>
        <v>0</v>
      </c>
      <c r="V203" s="22"/>
      <c r="W203" s="22"/>
      <c r="X203" s="40"/>
      <c r="Y203" s="22"/>
      <c r="Z203" s="40"/>
      <c r="AA203" s="73"/>
      <c r="AB203" s="73"/>
      <c r="AC203" s="81" t="str">
        <f t="shared" si="234"/>
        <v/>
      </c>
      <c r="AD203" s="82" t="str">
        <f t="shared" si="235"/>
        <v/>
      </c>
      <c r="AE203" s="82" t="str">
        <f t="shared" si="236"/>
        <v/>
      </c>
    </row>
    <row r="204" spans="1:31" ht="14.25" customHeight="1" x14ac:dyDescent="0.2">
      <c r="A204" s="31">
        <f t="shared" ref="A204:B204" si="239">+A203</f>
        <v>44195</v>
      </c>
      <c r="B204" s="32">
        <f t="shared" si="239"/>
        <v>53</v>
      </c>
      <c r="C204" s="62">
        <f t="shared" si="61"/>
        <v>44195</v>
      </c>
      <c r="D204" s="19">
        <v>63</v>
      </c>
      <c r="E204" s="20"/>
      <c r="F204" s="21"/>
      <c r="G204" s="22"/>
      <c r="H204" s="22"/>
      <c r="I204" s="21"/>
      <c r="J204" s="22"/>
      <c r="K204" s="22"/>
      <c r="L204" s="23">
        <f t="shared" si="62"/>
        <v>0</v>
      </c>
      <c r="M204" s="22">
        <f t="shared" si="63"/>
        <v>0</v>
      </c>
      <c r="N204" s="24">
        <v>5</v>
      </c>
      <c r="O204" s="25">
        <v>1</v>
      </c>
      <c r="P204" s="25">
        <f t="shared" si="238"/>
        <v>0</v>
      </c>
      <c r="Q204" s="26"/>
      <c r="R204" s="26"/>
      <c r="S204" s="26"/>
      <c r="T204" s="27"/>
      <c r="U204" s="28">
        <f t="shared" si="64"/>
        <v>0</v>
      </c>
      <c r="V204" s="22"/>
      <c r="W204" s="22"/>
      <c r="X204" s="40"/>
      <c r="Y204" s="22"/>
      <c r="Z204" s="40"/>
      <c r="AA204" s="40"/>
      <c r="AB204" s="40"/>
      <c r="AC204" s="81" t="str">
        <f t="shared" si="234"/>
        <v/>
      </c>
      <c r="AD204" s="82" t="str">
        <f t="shared" si="235"/>
        <v/>
      </c>
      <c r="AE204" s="82" t="str">
        <f t="shared" si="236"/>
        <v/>
      </c>
    </row>
    <row r="205" spans="1:31" ht="14.25" customHeight="1" x14ac:dyDescent="0.2">
      <c r="A205" s="31">
        <f t="shared" ref="A205:B205" si="240">+A204</f>
        <v>44195</v>
      </c>
      <c r="B205" s="32">
        <f t="shared" si="240"/>
        <v>53</v>
      </c>
      <c r="C205" s="62">
        <f t="shared" si="61"/>
        <v>44195</v>
      </c>
      <c r="D205" s="19">
        <v>64</v>
      </c>
      <c r="E205" s="20"/>
      <c r="F205" s="21"/>
      <c r="G205" s="22"/>
      <c r="H205" s="22"/>
      <c r="I205" s="21"/>
      <c r="J205" s="22"/>
      <c r="K205" s="22"/>
      <c r="L205" s="23">
        <f t="shared" si="62"/>
        <v>0</v>
      </c>
      <c r="M205" s="22">
        <f t="shared" si="63"/>
        <v>0</v>
      </c>
      <c r="N205" s="24">
        <v>5</v>
      </c>
      <c r="O205" s="25">
        <v>1</v>
      </c>
      <c r="P205" s="25">
        <f t="shared" si="238"/>
        <v>0</v>
      </c>
      <c r="Q205" s="26"/>
      <c r="R205" s="26"/>
      <c r="S205" s="26"/>
      <c r="T205" s="27"/>
      <c r="U205" s="28">
        <f t="shared" si="64"/>
        <v>0</v>
      </c>
      <c r="V205" s="22"/>
      <c r="W205" s="22"/>
      <c r="X205" s="40"/>
      <c r="Y205" s="22"/>
      <c r="Z205" s="40"/>
      <c r="AA205" s="40"/>
      <c r="AB205" s="40"/>
      <c r="AC205" s="81" t="str">
        <f t="shared" si="234"/>
        <v/>
      </c>
      <c r="AD205" s="82" t="str">
        <f t="shared" si="235"/>
        <v/>
      </c>
      <c r="AE205" s="82" t="str">
        <f t="shared" si="236"/>
        <v/>
      </c>
    </row>
    <row r="206" spans="1:31" ht="14.25" customHeight="1" x14ac:dyDescent="0.2">
      <c r="A206" s="33">
        <f t="shared" ref="A206:B206" si="241">+A205</f>
        <v>44195</v>
      </c>
      <c r="B206" s="34">
        <f t="shared" si="241"/>
        <v>53</v>
      </c>
      <c r="C206" s="63">
        <f t="shared" si="61"/>
        <v>44195</v>
      </c>
      <c r="D206" s="19">
        <v>65</v>
      </c>
      <c r="E206" s="20"/>
      <c r="F206" s="21"/>
      <c r="G206" s="22"/>
      <c r="H206" s="22"/>
      <c r="I206" s="21"/>
      <c r="J206" s="22"/>
      <c r="K206" s="22"/>
      <c r="L206" s="23">
        <f t="shared" si="62"/>
        <v>0</v>
      </c>
      <c r="M206" s="22">
        <f t="shared" si="63"/>
        <v>0</v>
      </c>
      <c r="N206" s="24">
        <v>5</v>
      </c>
      <c r="O206" s="25">
        <v>1</v>
      </c>
      <c r="P206" s="25">
        <f t="shared" si="238"/>
        <v>0</v>
      </c>
      <c r="Q206" s="26"/>
      <c r="R206" s="26"/>
      <c r="S206" s="26"/>
      <c r="T206" s="27"/>
      <c r="U206" s="28">
        <f t="shared" si="64"/>
        <v>0</v>
      </c>
      <c r="V206" s="22"/>
      <c r="W206" s="22"/>
      <c r="X206" s="40"/>
      <c r="Y206" s="22"/>
      <c r="Z206" s="40"/>
      <c r="AA206" s="40"/>
      <c r="AB206" s="40"/>
      <c r="AC206" s="29" t="str">
        <f t="shared" si="234"/>
        <v/>
      </c>
      <c r="AD206" s="30" t="str">
        <f t="shared" si="235"/>
        <v/>
      </c>
      <c r="AE206" s="30" t="str">
        <f t="shared" si="236"/>
        <v/>
      </c>
    </row>
    <row r="207" spans="1:31" ht="14.25" customHeight="1" x14ac:dyDescent="0.2">
      <c r="A207" s="17">
        <f t="shared" ref="A207" si="242">+A202+1</f>
        <v>44196</v>
      </c>
      <c r="B207" s="18">
        <f t="shared" ref="B207" si="243">WEEKNUM(A207,2)</f>
        <v>53</v>
      </c>
      <c r="C207" s="61">
        <f t="shared" si="61"/>
        <v>44196</v>
      </c>
      <c r="D207" s="19">
        <v>66</v>
      </c>
      <c r="E207" s="20" t="s">
        <v>25</v>
      </c>
      <c r="F207" s="21">
        <v>44184.132789351803</v>
      </c>
      <c r="G207" s="22">
        <v>1997.7</v>
      </c>
      <c r="H207" s="22"/>
      <c r="I207" s="21">
        <v>44184.147083333301</v>
      </c>
      <c r="J207" s="22">
        <v>2001.2</v>
      </c>
      <c r="K207" s="22"/>
      <c r="L207" s="23">
        <f t="shared" si="62"/>
        <v>1.4293981497758068E-2</v>
      </c>
      <c r="M207" s="22">
        <f t="shared" si="63"/>
        <v>3.5</v>
      </c>
      <c r="N207" s="24">
        <v>5</v>
      </c>
      <c r="O207" s="25">
        <v>1</v>
      </c>
      <c r="P207" s="25">
        <f t="shared" ref="P207" si="244">+IF(J207&gt;0,O207*0.8,0)</f>
        <v>0.8</v>
      </c>
      <c r="Q207" s="26"/>
      <c r="R207" s="26"/>
      <c r="S207" s="26"/>
      <c r="T207" s="27"/>
      <c r="U207" s="83">
        <f t="shared" si="64"/>
        <v>16.7</v>
      </c>
      <c r="V207" s="22">
        <f t="shared" ref="V207" si="245">SUM(U207:U211)</f>
        <v>16.7</v>
      </c>
      <c r="W207" s="74">
        <f>+Tabla1[[#This Row],[RESULTADO DEL DÍA]]+W202</f>
        <v>2464.5999999999981</v>
      </c>
      <c r="X207" s="22">
        <f>+X202+Tabla1[[#This Row],[Objetivo presupuestado]]</f>
        <v>3150</v>
      </c>
      <c r="Y207" s="22" t="str">
        <f t="shared" ref="Y207" si="246">IF(AF207=0,"0",10)</f>
        <v>0</v>
      </c>
      <c r="Z207" s="22" t="str">
        <f t="shared" ref="Z207" si="247">IF(AF207=0,"0",50)</f>
        <v>0</v>
      </c>
      <c r="AA207" s="27">
        <f t="shared" ref="AA207" si="248">+IFERROR(AF210/(AG210*-1),AF210)</f>
        <v>0</v>
      </c>
      <c r="AB207" s="75" t="str">
        <f t="shared" ref="AB207" si="249">+IFERROR(AF211/AF207,"0")</f>
        <v>0</v>
      </c>
      <c r="AC207" s="81">
        <f t="shared" ref="AC207:AC211" si="250">+IF(J207&gt;0,1,"")</f>
        <v>1</v>
      </c>
      <c r="AD207" s="82">
        <f t="shared" ref="AD207:AD211" si="251">+IF(M207&gt;0,M207,"")</f>
        <v>3.5</v>
      </c>
      <c r="AE207" s="82" t="str">
        <f t="shared" ref="AE207:AE211" si="252">+IF(M207&lt;0,M207,"")</f>
        <v/>
      </c>
    </row>
    <row r="208" spans="1:31" ht="14.25" customHeight="1" x14ac:dyDescent="0.2">
      <c r="A208" s="31">
        <f t="shared" ref="A208:B208" si="253">+A207</f>
        <v>44196</v>
      </c>
      <c r="B208" s="32">
        <f t="shared" si="253"/>
        <v>53</v>
      </c>
      <c r="C208" s="62">
        <f t="shared" si="61"/>
        <v>44196</v>
      </c>
      <c r="D208" s="19">
        <v>67</v>
      </c>
      <c r="E208" s="20"/>
      <c r="F208" s="21"/>
      <c r="G208" s="22"/>
      <c r="H208" s="22"/>
      <c r="I208" s="21"/>
      <c r="J208" s="22"/>
      <c r="K208" s="22"/>
      <c r="L208" s="23">
        <f t="shared" si="62"/>
        <v>0</v>
      </c>
      <c r="M208" s="22">
        <f t="shared" si="63"/>
        <v>0</v>
      </c>
      <c r="N208" s="24">
        <v>5</v>
      </c>
      <c r="O208" s="25">
        <v>1</v>
      </c>
      <c r="P208" s="25">
        <f t="shared" ref="P208:P211" si="254">+IF(J208&gt;0,O208*1,0)</f>
        <v>0</v>
      </c>
      <c r="Q208" s="26"/>
      <c r="R208" s="26"/>
      <c r="S208" s="26"/>
      <c r="T208" s="27"/>
      <c r="U208" s="28">
        <f t="shared" si="64"/>
        <v>0</v>
      </c>
      <c r="V208" s="22"/>
      <c r="W208" s="22"/>
      <c r="X208" s="40"/>
      <c r="Y208" s="22"/>
      <c r="Z208" s="40"/>
      <c r="AA208" s="73"/>
      <c r="AB208" s="73"/>
      <c r="AC208" s="81" t="str">
        <f t="shared" si="250"/>
        <v/>
      </c>
      <c r="AD208" s="82" t="str">
        <f t="shared" si="251"/>
        <v/>
      </c>
      <c r="AE208" s="82" t="str">
        <f t="shared" si="252"/>
        <v/>
      </c>
    </row>
    <row r="209" spans="1:31" ht="14.25" customHeight="1" x14ac:dyDescent="0.2">
      <c r="A209" s="31">
        <f t="shared" ref="A209:B209" si="255">+A208</f>
        <v>44196</v>
      </c>
      <c r="B209" s="32">
        <f t="shared" si="255"/>
        <v>53</v>
      </c>
      <c r="C209" s="62">
        <f t="shared" si="61"/>
        <v>44196</v>
      </c>
      <c r="D209" s="19">
        <v>68</v>
      </c>
      <c r="E209" s="20"/>
      <c r="F209" s="21"/>
      <c r="G209" s="22"/>
      <c r="H209" s="22"/>
      <c r="I209" s="21"/>
      <c r="J209" s="22"/>
      <c r="K209" s="22"/>
      <c r="L209" s="23">
        <f t="shared" si="62"/>
        <v>0</v>
      </c>
      <c r="M209" s="22">
        <f t="shared" si="63"/>
        <v>0</v>
      </c>
      <c r="N209" s="24">
        <v>5</v>
      </c>
      <c r="O209" s="25">
        <v>1</v>
      </c>
      <c r="P209" s="25">
        <f t="shared" si="254"/>
        <v>0</v>
      </c>
      <c r="Q209" s="26"/>
      <c r="R209" s="26"/>
      <c r="S209" s="26"/>
      <c r="T209" s="27"/>
      <c r="U209" s="28">
        <f t="shared" si="64"/>
        <v>0</v>
      </c>
      <c r="V209" s="22"/>
      <c r="W209" s="22"/>
      <c r="X209" s="40"/>
      <c r="Y209" s="22"/>
      <c r="Z209" s="40"/>
      <c r="AA209" s="40"/>
      <c r="AB209" s="40"/>
      <c r="AC209" s="81" t="str">
        <f t="shared" si="250"/>
        <v/>
      </c>
      <c r="AD209" s="82" t="str">
        <f t="shared" si="251"/>
        <v/>
      </c>
      <c r="AE209" s="82" t="str">
        <f t="shared" si="252"/>
        <v/>
      </c>
    </row>
    <row r="210" spans="1:31" ht="14.25" customHeight="1" x14ac:dyDescent="0.2">
      <c r="A210" s="31">
        <f t="shared" ref="A210:B210" si="256">+A209</f>
        <v>44196</v>
      </c>
      <c r="B210" s="32">
        <f t="shared" si="256"/>
        <v>53</v>
      </c>
      <c r="C210" s="62">
        <f t="shared" si="61"/>
        <v>44196</v>
      </c>
      <c r="D210" s="19">
        <v>69</v>
      </c>
      <c r="E210" s="20"/>
      <c r="F210" s="21"/>
      <c r="G210" s="22"/>
      <c r="H210" s="22"/>
      <c r="I210" s="21"/>
      <c r="J210" s="22"/>
      <c r="K210" s="22"/>
      <c r="L210" s="23">
        <f t="shared" si="62"/>
        <v>0</v>
      </c>
      <c r="M210" s="22">
        <f t="shared" si="63"/>
        <v>0</v>
      </c>
      <c r="N210" s="24">
        <v>5</v>
      </c>
      <c r="O210" s="25">
        <v>1</v>
      </c>
      <c r="P210" s="25">
        <f t="shared" si="254"/>
        <v>0</v>
      </c>
      <c r="Q210" s="26"/>
      <c r="R210" s="26"/>
      <c r="S210" s="26"/>
      <c r="T210" s="27"/>
      <c r="U210" s="28">
        <f t="shared" si="64"/>
        <v>0</v>
      </c>
      <c r="V210" s="22"/>
      <c r="W210" s="22"/>
      <c r="X210" s="40"/>
      <c r="Y210" s="22"/>
      <c r="Z210" s="40"/>
      <c r="AA210" s="40"/>
      <c r="AB210" s="40"/>
      <c r="AC210" s="81" t="str">
        <f t="shared" si="250"/>
        <v/>
      </c>
      <c r="AD210" s="82" t="str">
        <f t="shared" si="251"/>
        <v/>
      </c>
      <c r="AE210" s="82" t="str">
        <f t="shared" si="252"/>
        <v/>
      </c>
    </row>
    <row r="211" spans="1:31" ht="14.25" customHeight="1" x14ac:dyDescent="0.2">
      <c r="A211" s="33">
        <f t="shared" ref="A211:B211" si="257">+A210</f>
        <v>44196</v>
      </c>
      <c r="B211" s="34">
        <f t="shared" si="257"/>
        <v>53</v>
      </c>
      <c r="C211" s="63">
        <f t="shared" si="61"/>
        <v>44196</v>
      </c>
      <c r="D211" s="19">
        <v>70</v>
      </c>
      <c r="E211" s="20"/>
      <c r="F211" s="21"/>
      <c r="G211" s="22"/>
      <c r="H211" s="22"/>
      <c r="I211" s="21"/>
      <c r="J211" s="22"/>
      <c r="K211" s="22"/>
      <c r="L211" s="23">
        <f t="shared" si="62"/>
        <v>0</v>
      </c>
      <c r="M211" s="22">
        <f t="shared" si="63"/>
        <v>0</v>
      </c>
      <c r="N211" s="24">
        <v>5</v>
      </c>
      <c r="O211" s="25">
        <v>1</v>
      </c>
      <c r="P211" s="25">
        <f t="shared" si="254"/>
        <v>0</v>
      </c>
      <c r="Q211" s="26"/>
      <c r="R211" s="26"/>
      <c r="S211" s="26"/>
      <c r="T211" s="27"/>
      <c r="U211" s="28">
        <f t="shared" si="64"/>
        <v>0</v>
      </c>
      <c r="V211" s="22"/>
      <c r="W211" s="22"/>
      <c r="X211" s="40"/>
      <c r="Y211" s="22"/>
      <c r="Z211" s="40"/>
      <c r="AA211" s="40"/>
      <c r="AB211" s="40"/>
      <c r="AC211" s="29" t="str">
        <f t="shared" si="250"/>
        <v/>
      </c>
      <c r="AD211" s="30" t="str">
        <f t="shared" si="251"/>
        <v/>
      </c>
      <c r="AE211" s="30" t="str">
        <f t="shared" si="252"/>
        <v/>
      </c>
    </row>
    <row r="212" spans="1:31" ht="14.25" customHeight="1" x14ac:dyDescent="0.2">
      <c r="A212" s="17">
        <f t="shared" ref="A212" si="258">+A207+1</f>
        <v>44197</v>
      </c>
      <c r="B212" s="18">
        <f t="shared" ref="B212" si="259">WEEKNUM(A212,2)</f>
        <v>1</v>
      </c>
      <c r="C212" s="61">
        <f t="shared" si="61"/>
        <v>44197</v>
      </c>
      <c r="D212" s="19">
        <v>71</v>
      </c>
      <c r="E212" s="20"/>
      <c r="F212" s="21"/>
      <c r="G212" s="22"/>
      <c r="H212" s="22"/>
      <c r="I212" s="21"/>
      <c r="J212" s="22"/>
      <c r="K212" s="22"/>
      <c r="L212" s="23">
        <f t="shared" si="62"/>
        <v>0</v>
      </c>
      <c r="M212" s="22">
        <f t="shared" si="63"/>
        <v>0</v>
      </c>
      <c r="N212" s="24">
        <v>5</v>
      </c>
      <c r="O212" s="25">
        <v>1</v>
      </c>
      <c r="P212" s="25">
        <f t="shared" ref="P212" si="260">+IF(J212&gt;0,O212*0.8,0)</f>
        <v>0</v>
      </c>
      <c r="Q212" s="26"/>
      <c r="R212" s="26"/>
      <c r="S212" s="26"/>
      <c r="T212" s="27"/>
      <c r="U212" s="83">
        <f t="shared" si="64"/>
        <v>0</v>
      </c>
      <c r="V212" s="22">
        <f t="shared" ref="V212" si="261">SUM(U212:U216)</f>
        <v>0</v>
      </c>
      <c r="W212" s="74">
        <f>+Tabla1[[#This Row],[RESULTADO DEL DÍA]]+W207</f>
        <v>2464.5999999999981</v>
      </c>
      <c r="X212" s="22">
        <f>+X207+Tabla1[[#This Row],[Objetivo presupuestado]]</f>
        <v>3150</v>
      </c>
      <c r="Y212" s="22" t="str">
        <f t="shared" ref="Y212" si="262">IF(AF212=0,"0",10)</f>
        <v>0</v>
      </c>
      <c r="Z212" s="22" t="str">
        <f t="shared" ref="Z212" si="263">IF(AF212=0,"0",50)</f>
        <v>0</v>
      </c>
      <c r="AA212" s="27">
        <f t="shared" ref="AA212" si="264">+IFERROR(AF215/(AG215*-1),AF215)</f>
        <v>0</v>
      </c>
      <c r="AB212" s="75" t="str">
        <f t="shared" ref="AB212" si="265">+IFERROR(AF216/AF212,"0")</f>
        <v>0</v>
      </c>
      <c r="AC212" s="84" t="str">
        <f t="shared" ref="AC212:AC231" si="266">+IF(J212&gt;0,1,"")</f>
        <v/>
      </c>
      <c r="AD212" s="85" t="str">
        <f t="shared" ref="AD212:AD231" si="267">+IF(M212&gt;0,M212,"")</f>
        <v/>
      </c>
      <c r="AE212" s="85" t="str">
        <f t="shared" ref="AE212:AE231" si="268">+IF(M212&lt;0,M212,"")</f>
        <v/>
      </c>
    </row>
    <row r="213" spans="1:31" ht="14.25" customHeight="1" x14ac:dyDescent="0.2">
      <c r="A213" s="31">
        <f t="shared" ref="A213:B213" si="269">+A212</f>
        <v>44197</v>
      </c>
      <c r="B213" s="32">
        <f t="shared" si="269"/>
        <v>1</v>
      </c>
      <c r="C213" s="62">
        <f t="shared" si="61"/>
        <v>44197</v>
      </c>
      <c r="D213" s="19">
        <v>72</v>
      </c>
      <c r="E213" s="20"/>
      <c r="F213" s="21"/>
      <c r="G213" s="22"/>
      <c r="H213" s="22"/>
      <c r="I213" s="21"/>
      <c r="J213" s="22"/>
      <c r="K213" s="22"/>
      <c r="L213" s="23">
        <f t="shared" si="62"/>
        <v>0</v>
      </c>
      <c r="M213" s="22">
        <f t="shared" si="63"/>
        <v>0</v>
      </c>
      <c r="N213" s="24">
        <v>5</v>
      </c>
      <c r="O213" s="25">
        <v>1</v>
      </c>
      <c r="P213" s="25">
        <f t="shared" ref="P213:P216" si="270">+IF(J213&gt;0,O213*1,0)</f>
        <v>0</v>
      </c>
      <c r="Q213" s="26"/>
      <c r="R213" s="26"/>
      <c r="S213" s="26"/>
      <c r="T213" s="27"/>
      <c r="U213" s="28">
        <f t="shared" si="64"/>
        <v>0</v>
      </c>
      <c r="V213" s="22"/>
      <c r="W213" s="22"/>
      <c r="X213" s="40"/>
      <c r="Y213" s="22"/>
      <c r="Z213" s="40"/>
      <c r="AA213" s="73"/>
      <c r="AB213" s="73"/>
      <c r="AC213" s="84" t="str">
        <f t="shared" si="266"/>
        <v/>
      </c>
      <c r="AD213" s="85" t="str">
        <f t="shared" si="267"/>
        <v/>
      </c>
      <c r="AE213" s="85" t="str">
        <f t="shared" si="268"/>
        <v/>
      </c>
    </row>
    <row r="214" spans="1:31" ht="14.25" customHeight="1" x14ac:dyDescent="0.2">
      <c r="A214" s="31">
        <f t="shared" ref="A214:B214" si="271">+A213</f>
        <v>44197</v>
      </c>
      <c r="B214" s="32">
        <f t="shared" si="271"/>
        <v>1</v>
      </c>
      <c r="C214" s="62">
        <f t="shared" ref="C214:C218" si="272">+A214</f>
        <v>44197</v>
      </c>
      <c r="D214" s="19">
        <v>73</v>
      </c>
      <c r="E214" s="20"/>
      <c r="F214" s="21"/>
      <c r="G214" s="22"/>
      <c r="H214" s="22"/>
      <c r="I214" s="21"/>
      <c r="J214" s="22"/>
      <c r="K214" s="22"/>
      <c r="L214" s="23">
        <f t="shared" ref="L214:L218" si="273">+I214-F214</f>
        <v>0</v>
      </c>
      <c r="M214" s="22">
        <f t="shared" ref="M214:M218" si="274">+IF(E214="buy",J214-G214,G214-J214)</f>
        <v>0</v>
      </c>
      <c r="N214" s="24">
        <v>5</v>
      </c>
      <c r="O214" s="25">
        <v>1</v>
      </c>
      <c r="P214" s="25">
        <f t="shared" si="270"/>
        <v>0</v>
      </c>
      <c r="Q214" s="26"/>
      <c r="R214" s="26"/>
      <c r="S214" s="26"/>
      <c r="T214" s="27"/>
      <c r="U214" s="28">
        <f t="shared" ref="U214:U218" si="275">+O214*N214*M214-P214</f>
        <v>0</v>
      </c>
      <c r="V214" s="22"/>
      <c r="W214" s="22"/>
      <c r="X214" s="40"/>
      <c r="Y214" s="22"/>
      <c r="Z214" s="40"/>
      <c r="AA214" s="40"/>
      <c r="AB214" s="40"/>
      <c r="AC214" s="84" t="str">
        <f t="shared" si="266"/>
        <v/>
      </c>
      <c r="AD214" s="85" t="str">
        <f t="shared" si="267"/>
        <v/>
      </c>
      <c r="AE214" s="85" t="str">
        <f t="shared" si="268"/>
        <v/>
      </c>
    </row>
    <row r="215" spans="1:31" ht="14.25" customHeight="1" x14ac:dyDescent="0.2">
      <c r="A215" s="31">
        <f t="shared" ref="A215:B215" si="276">+A214</f>
        <v>44197</v>
      </c>
      <c r="B215" s="32">
        <f t="shared" si="276"/>
        <v>1</v>
      </c>
      <c r="C215" s="62">
        <f t="shared" si="272"/>
        <v>44197</v>
      </c>
      <c r="D215" s="19">
        <v>74</v>
      </c>
      <c r="E215" s="20"/>
      <c r="F215" s="21"/>
      <c r="G215" s="22"/>
      <c r="H215" s="22"/>
      <c r="I215" s="21"/>
      <c r="J215" s="22"/>
      <c r="K215" s="22"/>
      <c r="L215" s="23">
        <f t="shared" si="273"/>
        <v>0</v>
      </c>
      <c r="M215" s="22">
        <f t="shared" si="274"/>
        <v>0</v>
      </c>
      <c r="N215" s="24">
        <v>5</v>
      </c>
      <c r="O215" s="25">
        <v>1</v>
      </c>
      <c r="P215" s="25">
        <f t="shared" si="270"/>
        <v>0</v>
      </c>
      <c r="Q215" s="26"/>
      <c r="R215" s="26"/>
      <c r="S215" s="26"/>
      <c r="T215" s="27"/>
      <c r="U215" s="28">
        <f t="shared" si="275"/>
        <v>0</v>
      </c>
      <c r="V215" s="22"/>
      <c r="W215" s="22"/>
      <c r="X215" s="40"/>
      <c r="Y215" s="22"/>
      <c r="Z215" s="40"/>
      <c r="AA215" s="40"/>
      <c r="AB215" s="40"/>
      <c r="AC215" s="84" t="str">
        <f t="shared" si="266"/>
        <v/>
      </c>
      <c r="AD215" s="85" t="str">
        <f t="shared" si="267"/>
        <v/>
      </c>
      <c r="AE215" s="85" t="str">
        <f t="shared" si="268"/>
        <v/>
      </c>
    </row>
    <row r="216" spans="1:31" ht="14.25" customHeight="1" x14ac:dyDescent="0.2">
      <c r="A216" s="33">
        <f t="shared" ref="A216:B216" si="277">+A215</f>
        <v>44197</v>
      </c>
      <c r="B216" s="34">
        <f t="shared" si="277"/>
        <v>1</v>
      </c>
      <c r="C216" s="63">
        <f t="shared" si="272"/>
        <v>44197</v>
      </c>
      <c r="D216" s="19">
        <v>75</v>
      </c>
      <c r="E216" s="20"/>
      <c r="F216" s="21"/>
      <c r="G216" s="22"/>
      <c r="H216" s="22"/>
      <c r="I216" s="21"/>
      <c r="J216" s="22"/>
      <c r="K216" s="22"/>
      <c r="L216" s="23">
        <f t="shared" si="273"/>
        <v>0</v>
      </c>
      <c r="M216" s="22">
        <f t="shared" si="274"/>
        <v>0</v>
      </c>
      <c r="N216" s="24">
        <v>5</v>
      </c>
      <c r="O216" s="25">
        <v>1</v>
      </c>
      <c r="P216" s="25">
        <f t="shared" si="270"/>
        <v>0</v>
      </c>
      <c r="Q216" s="26"/>
      <c r="R216" s="26"/>
      <c r="S216" s="26"/>
      <c r="T216" s="27"/>
      <c r="U216" s="28">
        <f t="shared" si="275"/>
        <v>0</v>
      </c>
      <c r="V216" s="22"/>
      <c r="W216" s="22"/>
      <c r="X216" s="40"/>
      <c r="Y216" s="22"/>
      <c r="Z216" s="40"/>
      <c r="AA216" s="40"/>
      <c r="AB216" s="40"/>
      <c r="AC216" s="84" t="str">
        <f t="shared" si="266"/>
        <v/>
      </c>
      <c r="AD216" s="85" t="str">
        <f t="shared" si="267"/>
        <v/>
      </c>
      <c r="AE216" s="85" t="str">
        <f t="shared" si="268"/>
        <v/>
      </c>
    </row>
    <row r="217" spans="1:31" ht="14.25" customHeight="1" x14ac:dyDescent="0.2">
      <c r="A217" s="17">
        <f t="shared" ref="A217:A277" si="278">+A212+1</f>
        <v>44198</v>
      </c>
      <c r="B217" s="18">
        <f t="shared" ref="B217:B277" si="279">WEEKNUM(A217,2)</f>
        <v>1</v>
      </c>
      <c r="C217" s="61">
        <f t="shared" si="272"/>
        <v>44198</v>
      </c>
      <c r="D217" s="19">
        <v>76</v>
      </c>
      <c r="E217" s="20"/>
      <c r="F217" s="21"/>
      <c r="G217" s="22"/>
      <c r="H217" s="22"/>
      <c r="I217" s="21"/>
      <c r="J217" s="22"/>
      <c r="K217" s="22"/>
      <c r="L217" s="23">
        <f t="shared" si="273"/>
        <v>0</v>
      </c>
      <c r="M217" s="22">
        <f t="shared" si="274"/>
        <v>0</v>
      </c>
      <c r="N217" s="24">
        <v>5</v>
      </c>
      <c r="O217" s="25">
        <v>1</v>
      </c>
      <c r="P217" s="25">
        <f t="shared" ref="P217" si="280">+IF(J217&gt;0,O217*0.8,0)</f>
        <v>0</v>
      </c>
      <c r="Q217" s="26"/>
      <c r="R217" s="26"/>
      <c r="S217" s="26"/>
      <c r="T217" s="27"/>
      <c r="U217" s="83">
        <f t="shared" si="275"/>
        <v>0</v>
      </c>
      <c r="V217" s="22">
        <f t="shared" ref="V217:V277" si="281">SUM(U217:U221)</f>
        <v>0</v>
      </c>
      <c r="W217" s="74">
        <f>+Tabla1[[#This Row],[RESULTADO DEL DÍA]]+W212</f>
        <v>2464.5999999999981</v>
      </c>
      <c r="X217" s="22">
        <f>+X212+Tabla1[[#This Row],[Objetivo presupuestado]]</f>
        <v>3150</v>
      </c>
      <c r="Y217" s="22" t="str">
        <f t="shared" ref="Y217" si="282">IF(AF217=0,"0",10)</f>
        <v>0</v>
      </c>
      <c r="Z217" s="22" t="str">
        <f t="shared" ref="Z217" si="283">IF(AF217=0,"0",50)</f>
        <v>0</v>
      </c>
      <c r="AA217" s="27">
        <f t="shared" ref="AA217" si="284">+IFERROR(AF220/(AG220*-1),AF220)</f>
        <v>0</v>
      </c>
      <c r="AB217" s="75" t="str">
        <f t="shared" ref="AB217" si="285">+IFERROR(AF221/AF217,"0")</f>
        <v>0</v>
      </c>
      <c r="AC217" s="84" t="str">
        <f t="shared" si="266"/>
        <v/>
      </c>
      <c r="AD217" s="85" t="str">
        <f t="shared" si="267"/>
        <v/>
      </c>
      <c r="AE217" s="85" t="str">
        <f t="shared" si="268"/>
        <v/>
      </c>
    </row>
    <row r="218" spans="1:31" ht="14.25" customHeight="1" x14ac:dyDescent="0.2">
      <c r="A218" s="31">
        <f t="shared" ref="A218:B218" si="286">+A217</f>
        <v>44198</v>
      </c>
      <c r="B218" s="32">
        <f t="shared" si="286"/>
        <v>1</v>
      </c>
      <c r="C218" s="62">
        <f t="shared" si="272"/>
        <v>44198</v>
      </c>
      <c r="D218" s="19">
        <v>77</v>
      </c>
      <c r="E218" s="20"/>
      <c r="F218" s="21"/>
      <c r="G218" s="22"/>
      <c r="H218" s="22"/>
      <c r="I218" s="21"/>
      <c r="J218" s="22"/>
      <c r="K218" s="22"/>
      <c r="L218" s="23">
        <f t="shared" si="273"/>
        <v>0</v>
      </c>
      <c r="M218" s="22">
        <f t="shared" si="274"/>
        <v>0</v>
      </c>
      <c r="N218" s="24">
        <v>5</v>
      </c>
      <c r="O218" s="25">
        <v>1</v>
      </c>
      <c r="P218" s="25">
        <f t="shared" ref="P218:P221" si="287">+IF(J218&gt;0,O218*1,0)</f>
        <v>0</v>
      </c>
      <c r="Q218" s="26"/>
      <c r="R218" s="26"/>
      <c r="S218" s="26"/>
      <c r="T218" s="27"/>
      <c r="U218" s="28">
        <f t="shared" si="275"/>
        <v>0</v>
      </c>
      <c r="V218" s="22"/>
      <c r="W218" s="22"/>
      <c r="X218" s="40"/>
      <c r="Y218" s="22"/>
      <c r="Z218" s="40"/>
      <c r="AA218" s="73"/>
      <c r="AB218" s="73"/>
      <c r="AC218" s="84" t="str">
        <f t="shared" si="266"/>
        <v/>
      </c>
      <c r="AD218" s="85" t="str">
        <f t="shared" si="267"/>
        <v/>
      </c>
      <c r="AE218" s="85" t="str">
        <f t="shared" si="268"/>
        <v/>
      </c>
    </row>
    <row r="219" spans="1:31" ht="14.25" customHeight="1" x14ac:dyDescent="0.2">
      <c r="A219" s="31">
        <f t="shared" ref="A219:B219" si="288">+A218</f>
        <v>44198</v>
      </c>
      <c r="B219" s="32">
        <f t="shared" si="288"/>
        <v>1</v>
      </c>
      <c r="C219" s="62">
        <f t="shared" ref="C219:C282" si="289">+A219</f>
        <v>44198</v>
      </c>
      <c r="D219" s="19">
        <v>78</v>
      </c>
      <c r="E219" s="20"/>
      <c r="F219" s="21"/>
      <c r="G219" s="22"/>
      <c r="H219" s="22"/>
      <c r="I219" s="21"/>
      <c r="J219" s="22"/>
      <c r="K219" s="22"/>
      <c r="L219" s="23">
        <f t="shared" ref="L219:L282" si="290">+I219-F219</f>
        <v>0</v>
      </c>
      <c r="M219" s="22">
        <f t="shared" ref="M219:M282" si="291">+IF(E219="buy",J219-G219,G219-J219)</f>
        <v>0</v>
      </c>
      <c r="N219" s="24">
        <v>5</v>
      </c>
      <c r="O219" s="25">
        <v>1</v>
      </c>
      <c r="P219" s="25">
        <f t="shared" si="287"/>
        <v>0</v>
      </c>
      <c r="Q219" s="26"/>
      <c r="R219" s="26"/>
      <c r="S219" s="26"/>
      <c r="T219" s="27"/>
      <c r="U219" s="28">
        <f t="shared" ref="U219:U282" si="292">+O219*N219*M219-P219</f>
        <v>0</v>
      </c>
      <c r="V219" s="22"/>
      <c r="W219" s="22"/>
      <c r="X219" s="40"/>
      <c r="Y219" s="22"/>
      <c r="Z219" s="40"/>
      <c r="AA219" s="40"/>
      <c r="AB219" s="40"/>
      <c r="AC219" s="84" t="str">
        <f t="shared" si="266"/>
        <v/>
      </c>
      <c r="AD219" s="85" t="str">
        <f t="shared" si="267"/>
        <v/>
      </c>
      <c r="AE219" s="85" t="str">
        <f t="shared" si="268"/>
        <v/>
      </c>
    </row>
    <row r="220" spans="1:31" ht="14.25" customHeight="1" x14ac:dyDescent="0.2">
      <c r="A220" s="31">
        <f t="shared" ref="A220:B220" si="293">+A219</f>
        <v>44198</v>
      </c>
      <c r="B220" s="32">
        <f t="shared" si="293"/>
        <v>1</v>
      </c>
      <c r="C220" s="62">
        <f t="shared" si="289"/>
        <v>44198</v>
      </c>
      <c r="D220" s="19">
        <v>79</v>
      </c>
      <c r="E220" s="20"/>
      <c r="F220" s="21"/>
      <c r="G220" s="22"/>
      <c r="H220" s="22"/>
      <c r="I220" s="21"/>
      <c r="J220" s="22"/>
      <c r="K220" s="22"/>
      <c r="L220" s="23">
        <f t="shared" si="290"/>
        <v>0</v>
      </c>
      <c r="M220" s="22">
        <f t="shared" si="291"/>
        <v>0</v>
      </c>
      <c r="N220" s="24">
        <v>5</v>
      </c>
      <c r="O220" s="25">
        <v>1</v>
      </c>
      <c r="P220" s="25">
        <f t="shared" si="287"/>
        <v>0</v>
      </c>
      <c r="Q220" s="26"/>
      <c r="R220" s="26"/>
      <c r="S220" s="26"/>
      <c r="T220" s="27"/>
      <c r="U220" s="28">
        <f t="shared" si="292"/>
        <v>0</v>
      </c>
      <c r="V220" s="22"/>
      <c r="W220" s="22"/>
      <c r="X220" s="40"/>
      <c r="Y220" s="22"/>
      <c r="Z220" s="40"/>
      <c r="AA220" s="40"/>
      <c r="AB220" s="40"/>
      <c r="AC220" s="84" t="str">
        <f t="shared" si="266"/>
        <v/>
      </c>
      <c r="AD220" s="85" t="str">
        <f t="shared" si="267"/>
        <v/>
      </c>
      <c r="AE220" s="85" t="str">
        <f t="shared" si="268"/>
        <v/>
      </c>
    </row>
    <row r="221" spans="1:31" ht="14.25" customHeight="1" x14ac:dyDescent="0.2">
      <c r="A221" s="33">
        <f t="shared" ref="A221:B221" si="294">+A220</f>
        <v>44198</v>
      </c>
      <c r="B221" s="34">
        <f t="shared" si="294"/>
        <v>1</v>
      </c>
      <c r="C221" s="63">
        <f t="shared" si="289"/>
        <v>44198</v>
      </c>
      <c r="D221" s="19">
        <v>80</v>
      </c>
      <c r="E221" s="20"/>
      <c r="F221" s="21"/>
      <c r="G221" s="22"/>
      <c r="H221" s="22"/>
      <c r="I221" s="21"/>
      <c r="J221" s="22"/>
      <c r="K221" s="22"/>
      <c r="L221" s="23">
        <f t="shared" si="290"/>
        <v>0</v>
      </c>
      <c r="M221" s="22">
        <f t="shared" si="291"/>
        <v>0</v>
      </c>
      <c r="N221" s="24">
        <v>5</v>
      </c>
      <c r="O221" s="25">
        <v>1</v>
      </c>
      <c r="P221" s="25">
        <f t="shared" si="287"/>
        <v>0</v>
      </c>
      <c r="Q221" s="26"/>
      <c r="R221" s="26"/>
      <c r="S221" s="26"/>
      <c r="T221" s="27"/>
      <c r="U221" s="28">
        <f t="shared" si="292"/>
        <v>0</v>
      </c>
      <c r="V221" s="22"/>
      <c r="W221" s="22"/>
      <c r="X221" s="40"/>
      <c r="Y221" s="22"/>
      <c r="Z221" s="40"/>
      <c r="AA221" s="40"/>
      <c r="AB221" s="40"/>
      <c r="AC221" s="84" t="str">
        <f t="shared" si="266"/>
        <v/>
      </c>
      <c r="AD221" s="85" t="str">
        <f t="shared" si="267"/>
        <v/>
      </c>
      <c r="AE221" s="85" t="str">
        <f t="shared" si="268"/>
        <v/>
      </c>
    </row>
    <row r="222" spans="1:31" ht="14.25" customHeight="1" x14ac:dyDescent="0.2">
      <c r="A222" s="17">
        <f t="shared" si="278"/>
        <v>44199</v>
      </c>
      <c r="B222" s="18">
        <f t="shared" si="279"/>
        <v>1</v>
      </c>
      <c r="C222" s="61">
        <f t="shared" si="289"/>
        <v>44199</v>
      </c>
      <c r="D222" s="19">
        <v>81</v>
      </c>
      <c r="E222" s="20"/>
      <c r="F222" s="21"/>
      <c r="G222" s="22"/>
      <c r="H222" s="22"/>
      <c r="I222" s="21"/>
      <c r="J222" s="22"/>
      <c r="K222" s="22"/>
      <c r="L222" s="23">
        <f t="shared" si="290"/>
        <v>0</v>
      </c>
      <c r="M222" s="22">
        <f t="shared" si="291"/>
        <v>0</v>
      </c>
      <c r="N222" s="24">
        <v>5</v>
      </c>
      <c r="O222" s="25">
        <v>1</v>
      </c>
      <c r="P222" s="25">
        <f t="shared" ref="P222" si="295">+IF(J222&gt;0,O222*0.8,0)</f>
        <v>0</v>
      </c>
      <c r="Q222" s="26"/>
      <c r="R222" s="26"/>
      <c r="S222" s="26"/>
      <c r="T222" s="27"/>
      <c r="U222" s="83">
        <f t="shared" si="292"/>
        <v>0</v>
      </c>
      <c r="V222" s="22">
        <f t="shared" si="281"/>
        <v>0</v>
      </c>
      <c r="W222" s="74">
        <f>+Tabla1[[#This Row],[RESULTADO DEL DÍA]]+W217</f>
        <v>2464.5999999999981</v>
      </c>
      <c r="X222" s="22">
        <f>+X217+Tabla1[[#This Row],[Objetivo presupuestado]]</f>
        <v>3150</v>
      </c>
      <c r="Y222" s="22" t="str">
        <f t="shared" ref="Y222" si="296">IF(AF222=0,"0",10)</f>
        <v>0</v>
      </c>
      <c r="Z222" s="22" t="str">
        <f t="shared" ref="Z222" si="297">IF(AF222=0,"0",50)</f>
        <v>0</v>
      </c>
      <c r="AA222" s="27">
        <f t="shared" ref="AA222" si="298">+IFERROR(AF225/(AG225*-1),AF225)</f>
        <v>0</v>
      </c>
      <c r="AB222" s="75" t="str">
        <f t="shared" ref="AB222" si="299">+IFERROR(AF226/AF222,"0")</f>
        <v>0</v>
      </c>
      <c r="AC222" s="84" t="str">
        <f t="shared" si="266"/>
        <v/>
      </c>
      <c r="AD222" s="85" t="str">
        <f t="shared" si="267"/>
        <v/>
      </c>
      <c r="AE222" s="85" t="str">
        <f t="shared" si="268"/>
        <v/>
      </c>
    </row>
    <row r="223" spans="1:31" ht="14.25" customHeight="1" x14ac:dyDescent="0.2">
      <c r="A223" s="31">
        <f t="shared" ref="A223:B223" si="300">+A222</f>
        <v>44199</v>
      </c>
      <c r="B223" s="32">
        <f t="shared" si="300"/>
        <v>1</v>
      </c>
      <c r="C223" s="62">
        <f t="shared" si="289"/>
        <v>44199</v>
      </c>
      <c r="D223" s="19">
        <v>82</v>
      </c>
      <c r="E223" s="20"/>
      <c r="F223" s="21"/>
      <c r="G223" s="22"/>
      <c r="H223" s="22"/>
      <c r="I223" s="21"/>
      <c r="J223" s="22"/>
      <c r="K223" s="22"/>
      <c r="L223" s="23">
        <f t="shared" si="290"/>
        <v>0</v>
      </c>
      <c r="M223" s="22">
        <f t="shared" si="291"/>
        <v>0</v>
      </c>
      <c r="N223" s="24">
        <v>5</v>
      </c>
      <c r="O223" s="25">
        <v>1</v>
      </c>
      <c r="P223" s="25">
        <f t="shared" ref="P223:P226" si="301">+IF(J223&gt;0,O223*1,0)</f>
        <v>0</v>
      </c>
      <c r="Q223" s="26"/>
      <c r="R223" s="26"/>
      <c r="S223" s="26"/>
      <c r="T223" s="27"/>
      <c r="U223" s="28">
        <f t="shared" si="292"/>
        <v>0</v>
      </c>
      <c r="V223" s="22"/>
      <c r="W223" s="22"/>
      <c r="X223" s="40"/>
      <c r="Y223" s="22"/>
      <c r="Z223" s="40"/>
      <c r="AA223" s="73"/>
      <c r="AB223" s="73"/>
      <c r="AC223" s="84" t="str">
        <f t="shared" si="266"/>
        <v/>
      </c>
      <c r="AD223" s="85" t="str">
        <f t="shared" si="267"/>
        <v/>
      </c>
      <c r="AE223" s="85" t="str">
        <f t="shared" si="268"/>
        <v/>
      </c>
    </row>
    <row r="224" spans="1:31" ht="14.25" customHeight="1" x14ac:dyDescent="0.2">
      <c r="A224" s="31">
        <f t="shared" ref="A224:B224" si="302">+A223</f>
        <v>44199</v>
      </c>
      <c r="B224" s="32">
        <f t="shared" si="302"/>
        <v>1</v>
      </c>
      <c r="C224" s="62">
        <f t="shared" si="289"/>
        <v>44199</v>
      </c>
      <c r="D224" s="19">
        <v>83</v>
      </c>
      <c r="E224" s="20"/>
      <c r="F224" s="21"/>
      <c r="G224" s="22"/>
      <c r="H224" s="22"/>
      <c r="I224" s="21"/>
      <c r="J224" s="22"/>
      <c r="K224" s="22"/>
      <c r="L224" s="23">
        <f t="shared" si="290"/>
        <v>0</v>
      </c>
      <c r="M224" s="22">
        <f t="shared" si="291"/>
        <v>0</v>
      </c>
      <c r="N224" s="24">
        <v>5</v>
      </c>
      <c r="O224" s="25">
        <v>1</v>
      </c>
      <c r="P224" s="25">
        <f t="shared" si="301"/>
        <v>0</v>
      </c>
      <c r="Q224" s="26"/>
      <c r="R224" s="26"/>
      <c r="S224" s="26"/>
      <c r="T224" s="27"/>
      <c r="U224" s="28">
        <f t="shared" si="292"/>
        <v>0</v>
      </c>
      <c r="V224" s="22"/>
      <c r="W224" s="22"/>
      <c r="X224" s="40"/>
      <c r="Y224" s="22"/>
      <c r="Z224" s="40"/>
      <c r="AA224" s="40"/>
      <c r="AB224" s="40"/>
      <c r="AC224" s="84" t="str">
        <f t="shared" si="266"/>
        <v/>
      </c>
      <c r="AD224" s="85" t="str">
        <f t="shared" si="267"/>
        <v/>
      </c>
      <c r="AE224" s="85" t="str">
        <f t="shared" si="268"/>
        <v/>
      </c>
    </row>
    <row r="225" spans="1:31" ht="14.25" customHeight="1" x14ac:dyDescent="0.2">
      <c r="A225" s="31">
        <f t="shared" ref="A225:B225" si="303">+A224</f>
        <v>44199</v>
      </c>
      <c r="B225" s="32">
        <f t="shared" si="303"/>
        <v>1</v>
      </c>
      <c r="C225" s="62">
        <f t="shared" si="289"/>
        <v>44199</v>
      </c>
      <c r="D225" s="19">
        <v>84</v>
      </c>
      <c r="E225" s="20"/>
      <c r="F225" s="21"/>
      <c r="G225" s="22"/>
      <c r="H225" s="22"/>
      <c r="I225" s="21"/>
      <c r="J225" s="22"/>
      <c r="K225" s="22"/>
      <c r="L225" s="23">
        <f t="shared" si="290"/>
        <v>0</v>
      </c>
      <c r="M225" s="22">
        <f t="shared" si="291"/>
        <v>0</v>
      </c>
      <c r="N225" s="24">
        <v>5</v>
      </c>
      <c r="O225" s="25">
        <v>1</v>
      </c>
      <c r="P225" s="25">
        <f t="shared" si="301"/>
        <v>0</v>
      </c>
      <c r="Q225" s="26"/>
      <c r="R225" s="26"/>
      <c r="S225" s="26"/>
      <c r="T225" s="27"/>
      <c r="U225" s="28">
        <f t="shared" si="292"/>
        <v>0</v>
      </c>
      <c r="V225" s="22"/>
      <c r="W225" s="22"/>
      <c r="X225" s="40"/>
      <c r="Y225" s="22"/>
      <c r="Z225" s="40"/>
      <c r="AA225" s="40"/>
      <c r="AB225" s="40"/>
      <c r="AC225" s="84" t="str">
        <f t="shared" si="266"/>
        <v/>
      </c>
      <c r="AD225" s="85" t="str">
        <f t="shared" si="267"/>
        <v/>
      </c>
      <c r="AE225" s="85" t="str">
        <f t="shared" si="268"/>
        <v/>
      </c>
    </row>
    <row r="226" spans="1:31" ht="14.25" customHeight="1" x14ac:dyDescent="0.2">
      <c r="A226" s="33">
        <f t="shared" ref="A226:B226" si="304">+A225</f>
        <v>44199</v>
      </c>
      <c r="B226" s="34">
        <f t="shared" si="304"/>
        <v>1</v>
      </c>
      <c r="C226" s="63">
        <f t="shared" si="289"/>
        <v>44199</v>
      </c>
      <c r="D226" s="19">
        <v>85</v>
      </c>
      <c r="E226" s="20"/>
      <c r="F226" s="21"/>
      <c r="G226" s="22"/>
      <c r="H226" s="22"/>
      <c r="I226" s="21"/>
      <c r="J226" s="22"/>
      <c r="K226" s="22"/>
      <c r="L226" s="23">
        <f t="shared" si="290"/>
        <v>0</v>
      </c>
      <c r="M226" s="22">
        <f t="shared" si="291"/>
        <v>0</v>
      </c>
      <c r="N226" s="24">
        <v>5</v>
      </c>
      <c r="O226" s="25">
        <v>1</v>
      </c>
      <c r="P226" s="25">
        <f t="shared" si="301"/>
        <v>0</v>
      </c>
      <c r="Q226" s="26"/>
      <c r="R226" s="26"/>
      <c r="S226" s="26"/>
      <c r="T226" s="27"/>
      <c r="U226" s="28">
        <f t="shared" si="292"/>
        <v>0</v>
      </c>
      <c r="V226" s="22"/>
      <c r="W226" s="22"/>
      <c r="X226" s="40"/>
      <c r="Y226" s="22"/>
      <c r="Z226" s="40"/>
      <c r="AA226" s="40"/>
      <c r="AB226" s="40"/>
      <c r="AC226" s="84" t="str">
        <f t="shared" si="266"/>
        <v/>
      </c>
      <c r="AD226" s="85" t="str">
        <f t="shared" si="267"/>
        <v/>
      </c>
      <c r="AE226" s="85" t="str">
        <f t="shared" si="268"/>
        <v/>
      </c>
    </row>
    <row r="227" spans="1:31" ht="14.25" customHeight="1" x14ac:dyDescent="0.2">
      <c r="A227" s="17">
        <f t="shared" si="278"/>
        <v>44200</v>
      </c>
      <c r="B227" s="18">
        <f t="shared" si="279"/>
        <v>2</v>
      </c>
      <c r="C227" s="61">
        <f t="shared" si="289"/>
        <v>44200</v>
      </c>
      <c r="D227" s="19">
        <v>86</v>
      </c>
      <c r="E227" s="20" t="s">
        <v>25</v>
      </c>
      <c r="F227" s="21">
        <v>44184.299456018503</v>
      </c>
      <c r="G227" s="22">
        <v>2001.7</v>
      </c>
      <c r="H227" s="22"/>
      <c r="I227" s="21">
        <v>44184.313750000001</v>
      </c>
      <c r="J227" s="22">
        <v>2005.2</v>
      </c>
      <c r="K227" s="22"/>
      <c r="L227" s="23">
        <f t="shared" si="290"/>
        <v>1.4293981497758068E-2</v>
      </c>
      <c r="M227" s="22">
        <f t="shared" si="291"/>
        <v>3.5</v>
      </c>
      <c r="N227" s="24">
        <v>5</v>
      </c>
      <c r="O227" s="25">
        <v>1</v>
      </c>
      <c r="P227" s="25">
        <f t="shared" ref="P227" si="305">+IF(J227&gt;0,O227*0.8,0)</f>
        <v>0.8</v>
      </c>
      <c r="Q227" s="26"/>
      <c r="R227" s="26"/>
      <c r="S227" s="26"/>
      <c r="T227" s="27"/>
      <c r="U227" s="83">
        <f t="shared" si="292"/>
        <v>16.7</v>
      </c>
      <c r="V227" s="22">
        <f t="shared" si="281"/>
        <v>16.7</v>
      </c>
      <c r="W227" s="74">
        <f>+Tabla1[[#This Row],[RESULTADO DEL DÍA]]+W222</f>
        <v>2481.2999999999979</v>
      </c>
      <c r="X227" s="22">
        <f>+X222+Tabla1[[#This Row],[Objetivo presupuestado]]</f>
        <v>3150</v>
      </c>
      <c r="Y227" s="22" t="str">
        <f t="shared" ref="Y227" si="306">IF(AF227=0,"0",10)</f>
        <v>0</v>
      </c>
      <c r="Z227" s="22" t="str">
        <f t="shared" ref="Z227" si="307">IF(AF227=0,"0",50)</f>
        <v>0</v>
      </c>
      <c r="AA227" s="27">
        <f t="shared" ref="AA227" si="308">+IFERROR(AF230/(AG230*-1),AF230)</f>
        <v>0</v>
      </c>
      <c r="AB227" s="75" t="str">
        <f t="shared" ref="AB227" si="309">+IFERROR(AF231/AF227,"0")</f>
        <v>0</v>
      </c>
      <c r="AC227" s="84">
        <f t="shared" si="266"/>
        <v>1</v>
      </c>
      <c r="AD227" s="85">
        <f t="shared" si="267"/>
        <v>3.5</v>
      </c>
      <c r="AE227" s="85" t="str">
        <f t="shared" si="268"/>
        <v/>
      </c>
    </row>
    <row r="228" spans="1:31" ht="14.25" customHeight="1" x14ac:dyDescent="0.2">
      <c r="A228" s="31">
        <f t="shared" ref="A228:B228" si="310">+A227</f>
        <v>44200</v>
      </c>
      <c r="B228" s="32">
        <f t="shared" si="310"/>
        <v>2</v>
      </c>
      <c r="C228" s="62">
        <f t="shared" si="289"/>
        <v>44200</v>
      </c>
      <c r="D228" s="19">
        <v>87</v>
      </c>
      <c r="E228" s="20"/>
      <c r="F228" s="21"/>
      <c r="G228" s="22"/>
      <c r="H228" s="22"/>
      <c r="I228" s="21"/>
      <c r="J228" s="22"/>
      <c r="K228" s="22"/>
      <c r="L228" s="23">
        <f t="shared" si="290"/>
        <v>0</v>
      </c>
      <c r="M228" s="22">
        <f t="shared" si="291"/>
        <v>0</v>
      </c>
      <c r="N228" s="24">
        <v>5</v>
      </c>
      <c r="O228" s="25">
        <v>1</v>
      </c>
      <c r="P228" s="25">
        <f t="shared" ref="P228:P231" si="311">+IF(J228&gt;0,O228*1,0)</f>
        <v>0</v>
      </c>
      <c r="Q228" s="26"/>
      <c r="R228" s="26"/>
      <c r="S228" s="26"/>
      <c r="T228" s="27"/>
      <c r="U228" s="28">
        <f t="shared" si="292"/>
        <v>0</v>
      </c>
      <c r="V228" s="22"/>
      <c r="W228" s="22"/>
      <c r="X228" s="40"/>
      <c r="Y228" s="22"/>
      <c r="Z228" s="40"/>
      <c r="AA228" s="73"/>
      <c r="AB228" s="73"/>
      <c r="AC228" s="84" t="str">
        <f t="shared" si="266"/>
        <v/>
      </c>
      <c r="AD228" s="85" t="str">
        <f t="shared" si="267"/>
        <v/>
      </c>
      <c r="AE228" s="85" t="str">
        <f t="shared" si="268"/>
        <v/>
      </c>
    </row>
    <row r="229" spans="1:31" ht="14.25" customHeight="1" x14ac:dyDescent="0.2">
      <c r="A229" s="31">
        <f t="shared" ref="A229:B229" si="312">+A228</f>
        <v>44200</v>
      </c>
      <c r="B229" s="32">
        <f t="shared" si="312"/>
        <v>2</v>
      </c>
      <c r="C229" s="62">
        <f t="shared" si="289"/>
        <v>44200</v>
      </c>
      <c r="D229" s="19">
        <v>88</v>
      </c>
      <c r="E229" s="20"/>
      <c r="F229" s="21"/>
      <c r="G229" s="22"/>
      <c r="H229" s="22"/>
      <c r="I229" s="21"/>
      <c r="J229" s="22"/>
      <c r="K229" s="22"/>
      <c r="L229" s="23">
        <f t="shared" si="290"/>
        <v>0</v>
      </c>
      <c r="M229" s="22">
        <f t="shared" si="291"/>
        <v>0</v>
      </c>
      <c r="N229" s="24">
        <v>5</v>
      </c>
      <c r="O229" s="25">
        <v>1</v>
      </c>
      <c r="P229" s="25">
        <f t="shared" si="311"/>
        <v>0</v>
      </c>
      <c r="Q229" s="26"/>
      <c r="R229" s="26"/>
      <c r="S229" s="26"/>
      <c r="T229" s="27"/>
      <c r="U229" s="28">
        <f t="shared" si="292"/>
        <v>0</v>
      </c>
      <c r="V229" s="22"/>
      <c r="W229" s="22"/>
      <c r="X229" s="40"/>
      <c r="Y229" s="22"/>
      <c r="Z229" s="40"/>
      <c r="AA229" s="40"/>
      <c r="AB229" s="40"/>
      <c r="AC229" s="84" t="str">
        <f t="shared" si="266"/>
        <v/>
      </c>
      <c r="AD229" s="85" t="str">
        <f t="shared" si="267"/>
        <v/>
      </c>
      <c r="AE229" s="85" t="str">
        <f t="shared" si="268"/>
        <v/>
      </c>
    </row>
    <row r="230" spans="1:31" ht="14.25" customHeight="1" x14ac:dyDescent="0.2">
      <c r="A230" s="31">
        <f t="shared" ref="A230:B230" si="313">+A229</f>
        <v>44200</v>
      </c>
      <c r="B230" s="32">
        <f t="shared" si="313"/>
        <v>2</v>
      </c>
      <c r="C230" s="62">
        <f t="shared" si="289"/>
        <v>44200</v>
      </c>
      <c r="D230" s="19">
        <v>89</v>
      </c>
      <c r="E230" s="20"/>
      <c r="F230" s="21"/>
      <c r="G230" s="22"/>
      <c r="H230" s="22"/>
      <c r="I230" s="21"/>
      <c r="J230" s="22"/>
      <c r="K230" s="22"/>
      <c r="L230" s="23">
        <f t="shared" si="290"/>
        <v>0</v>
      </c>
      <c r="M230" s="22">
        <f t="shared" si="291"/>
        <v>0</v>
      </c>
      <c r="N230" s="24">
        <v>5</v>
      </c>
      <c r="O230" s="25">
        <v>1</v>
      </c>
      <c r="P230" s="25">
        <f t="shared" si="311"/>
        <v>0</v>
      </c>
      <c r="Q230" s="26"/>
      <c r="R230" s="26"/>
      <c r="S230" s="26"/>
      <c r="T230" s="27"/>
      <c r="U230" s="28">
        <f t="shared" si="292"/>
        <v>0</v>
      </c>
      <c r="V230" s="22"/>
      <c r="W230" s="22"/>
      <c r="X230" s="40"/>
      <c r="Y230" s="22"/>
      <c r="Z230" s="40"/>
      <c r="AA230" s="40"/>
      <c r="AB230" s="40"/>
      <c r="AC230" s="84" t="str">
        <f t="shared" si="266"/>
        <v/>
      </c>
      <c r="AD230" s="85" t="str">
        <f t="shared" si="267"/>
        <v/>
      </c>
      <c r="AE230" s="85" t="str">
        <f t="shared" si="268"/>
        <v/>
      </c>
    </row>
    <row r="231" spans="1:31" ht="14.25" customHeight="1" x14ac:dyDescent="0.2">
      <c r="A231" s="33">
        <f t="shared" ref="A231:B231" si="314">+A230</f>
        <v>44200</v>
      </c>
      <c r="B231" s="34">
        <f t="shared" si="314"/>
        <v>2</v>
      </c>
      <c r="C231" s="63">
        <f t="shared" si="289"/>
        <v>44200</v>
      </c>
      <c r="D231" s="19">
        <v>90</v>
      </c>
      <c r="E231" s="20"/>
      <c r="F231" s="21"/>
      <c r="G231" s="22"/>
      <c r="H231" s="22"/>
      <c r="I231" s="21"/>
      <c r="J231" s="22"/>
      <c r="K231" s="22"/>
      <c r="L231" s="23">
        <f t="shared" si="290"/>
        <v>0</v>
      </c>
      <c r="M231" s="22">
        <f t="shared" si="291"/>
        <v>0</v>
      </c>
      <c r="N231" s="24">
        <v>5</v>
      </c>
      <c r="O231" s="25">
        <v>1</v>
      </c>
      <c r="P231" s="25">
        <f t="shared" si="311"/>
        <v>0</v>
      </c>
      <c r="Q231" s="26"/>
      <c r="R231" s="26"/>
      <c r="S231" s="26"/>
      <c r="T231" s="27"/>
      <c r="U231" s="28">
        <f t="shared" si="292"/>
        <v>0</v>
      </c>
      <c r="V231" s="22"/>
      <c r="W231" s="22"/>
      <c r="X231" s="40"/>
      <c r="Y231" s="22"/>
      <c r="Z231" s="40"/>
      <c r="AA231" s="40"/>
      <c r="AB231" s="40"/>
      <c r="AC231" s="84" t="str">
        <f t="shared" si="266"/>
        <v/>
      </c>
      <c r="AD231" s="85" t="str">
        <f t="shared" si="267"/>
        <v/>
      </c>
      <c r="AE231" s="85" t="str">
        <f t="shared" si="268"/>
        <v/>
      </c>
    </row>
    <row r="232" spans="1:31" ht="14.25" customHeight="1" x14ac:dyDescent="0.2">
      <c r="A232" s="17">
        <f t="shared" si="278"/>
        <v>44201</v>
      </c>
      <c r="B232" s="18">
        <f t="shared" si="279"/>
        <v>2</v>
      </c>
      <c r="C232" s="61">
        <f t="shared" si="289"/>
        <v>44201</v>
      </c>
      <c r="D232" s="19">
        <v>91</v>
      </c>
      <c r="E232" s="20"/>
      <c r="F232" s="21"/>
      <c r="G232" s="22"/>
      <c r="H232" s="22"/>
      <c r="I232" s="21"/>
      <c r="J232" s="22"/>
      <c r="K232" s="22"/>
      <c r="L232" s="23">
        <f t="shared" si="290"/>
        <v>0</v>
      </c>
      <c r="M232" s="22">
        <f t="shared" si="291"/>
        <v>0</v>
      </c>
      <c r="N232" s="24">
        <v>5</v>
      </c>
      <c r="O232" s="25">
        <v>1</v>
      </c>
      <c r="P232" s="25">
        <f t="shared" ref="P232" si="315">+IF(J232&gt;0,O232*0.8,0)</f>
        <v>0</v>
      </c>
      <c r="Q232" s="26"/>
      <c r="R232" s="26"/>
      <c r="S232" s="26"/>
      <c r="T232" s="27"/>
      <c r="U232" s="83">
        <f t="shared" si="292"/>
        <v>0</v>
      </c>
      <c r="V232" s="22">
        <f t="shared" si="281"/>
        <v>0</v>
      </c>
      <c r="W232" s="74">
        <f>+Tabla1[[#This Row],[RESULTADO DEL DÍA]]+W227</f>
        <v>2481.2999999999979</v>
      </c>
      <c r="X232" s="22">
        <f>+X227+Tabla1[[#This Row],[Objetivo presupuestado]]</f>
        <v>3150</v>
      </c>
      <c r="Y232" s="22" t="str">
        <f t="shared" ref="Y232" si="316">IF(AF232=0,"0",10)</f>
        <v>0</v>
      </c>
      <c r="Z232" s="22" t="str">
        <f t="shared" ref="Z232" si="317">IF(AF232=0,"0",50)</f>
        <v>0</v>
      </c>
      <c r="AA232" s="27">
        <f t="shared" ref="AA232" si="318">+IFERROR(AF235/(AG235*-1),AF235)</f>
        <v>0</v>
      </c>
      <c r="AB232" s="75" t="str">
        <f t="shared" ref="AB232" si="319">+IFERROR(AF236/AF232,"0")</f>
        <v>0</v>
      </c>
      <c r="AC232" s="84" t="str">
        <f t="shared" ref="AC232:AC263" si="320">+IF(J232&gt;0,1,"")</f>
        <v/>
      </c>
      <c r="AD232" s="85" t="str">
        <f t="shared" ref="AD232:AD263" si="321">+IF(M232&gt;0,M232,"")</f>
        <v/>
      </c>
      <c r="AE232" s="85" t="str">
        <f t="shared" ref="AE232:AE263" si="322">+IF(M232&lt;0,M232,"")</f>
        <v/>
      </c>
    </row>
    <row r="233" spans="1:31" ht="14.25" customHeight="1" x14ac:dyDescent="0.2">
      <c r="A233" s="31">
        <f t="shared" ref="A233:B233" si="323">+A232</f>
        <v>44201</v>
      </c>
      <c r="B233" s="32">
        <f t="shared" si="323"/>
        <v>2</v>
      </c>
      <c r="C233" s="62">
        <f t="shared" si="289"/>
        <v>44201</v>
      </c>
      <c r="D233" s="19">
        <v>92</v>
      </c>
      <c r="E233" s="20"/>
      <c r="F233" s="21"/>
      <c r="G233" s="22"/>
      <c r="H233" s="22"/>
      <c r="I233" s="21"/>
      <c r="J233" s="22"/>
      <c r="K233" s="22"/>
      <c r="L233" s="23">
        <f t="shared" si="290"/>
        <v>0</v>
      </c>
      <c r="M233" s="22">
        <f t="shared" si="291"/>
        <v>0</v>
      </c>
      <c r="N233" s="24">
        <v>5</v>
      </c>
      <c r="O233" s="25">
        <v>1</v>
      </c>
      <c r="P233" s="25">
        <f t="shared" ref="P233:P236" si="324">+IF(J233&gt;0,O233*1,0)</f>
        <v>0</v>
      </c>
      <c r="Q233" s="26"/>
      <c r="R233" s="26"/>
      <c r="S233" s="26"/>
      <c r="T233" s="27"/>
      <c r="U233" s="28">
        <f t="shared" si="292"/>
        <v>0</v>
      </c>
      <c r="V233" s="22"/>
      <c r="W233" s="22"/>
      <c r="X233" s="40"/>
      <c r="Y233" s="22"/>
      <c r="Z233" s="40"/>
      <c r="AA233" s="73"/>
      <c r="AB233" s="73"/>
      <c r="AC233" s="84" t="str">
        <f t="shared" si="320"/>
        <v/>
      </c>
      <c r="AD233" s="85" t="str">
        <f t="shared" si="321"/>
        <v/>
      </c>
      <c r="AE233" s="85" t="str">
        <f t="shared" si="322"/>
        <v/>
      </c>
    </row>
    <row r="234" spans="1:31" ht="14.25" customHeight="1" x14ac:dyDescent="0.2">
      <c r="A234" s="31">
        <f t="shared" ref="A234:B234" si="325">+A233</f>
        <v>44201</v>
      </c>
      <c r="B234" s="32">
        <f t="shared" si="325"/>
        <v>2</v>
      </c>
      <c r="C234" s="62">
        <f t="shared" si="289"/>
        <v>44201</v>
      </c>
      <c r="D234" s="19">
        <v>93</v>
      </c>
      <c r="E234" s="20"/>
      <c r="F234" s="21"/>
      <c r="G234" s="22"/>
      <c r="H234" s="22"/>
      <c r="I234" s="21"/>
      <c r="J234" s="22"/>
      <c r="K234" s="22"/>
      <c r="L234" s="23">
        <f t="shared" si="290"/>
        <v>0</v>
      </c>
      <c r="M234" s="22">
        <f t="shared" si="291"/>
        <v>0</v>
      </c>
      <c r="N234" s="24">
        <v>5</v>
      </c>
      <c r="O234" s="25">
        <v>1</v>
      </c>
      <c r="P234" s="25">
        <f t="shared" si="324"/>
        <v>0</v>
      </c>
      <c r="Q234" s="26"/>
      <c r="R234" s="26"/>
      <c r="S234" s="26"/>
      <c r="T234" s="27"/>
      <c r="U234" s="28">
        <f t="shared" si="292"/>
        <v>0</v>
      </c>
      <c r="V234" s="22"/>
      <c r="W234" s="22"/>
      <c r="X234" s="40"/>
      <c r="Y234" s="22"/>
      <c r="Z234" s="40"/>
      <c r="AA234" s="40"/>
      <c r="AB234" s="40"/>
      <c r="AC234" s="84" t="str">
        <f t="shared" si="320"/>
        <v/>
      </c>
      <c r="AD234" s="85" t="str">
        <f t="shared" si="321"/>
        <v/>
      </c>
      <c r="AE234" s="85" t="str">
        <f t="shared" si="322"/>
        <v/>
      </c>
    </row>
    <row r="235" spans="1:31" ht="14.25" customHeight="1" x14ac:dyDescent="0.2">
      <c r="A235" s="31">
        <f t="shared" ref="A235:B235" si="326">+A234</f>
        <v>44201</v>
      </c>
      <c r="B235" s="32">
        <f t="shared" si="326"/>
        <v>2</v>
      </c>
      <c r="C235" s="62">
        <f t="shared" si="289"/>
        <v>44201</v>
      </c>
      <c r="D235" s="19">
        <v>94</v>
      </c>
      <c r="E235" s="20"/>
      <c r="F235" s="21"/>
      <c r="G235" s="22"/>
      <c r="H235" s="22"/>
      <c r="I235" s="21"/>
      <c r="J235" s="22"/>
      <c r="K235" s="22"/>
      <c r="L235" s="23">
        <f t="shared" si="290"/>
        <v>0</v>
      </c>
      <c r="M235" s="22">
        <f t="shared" si="291"/>
        <v>0</v>
      </c>
      <c r="N235" s="24">
        <v>5</v>
      </c>
      <c r="O235" s="25">
        <v>1</v>
      </c>
      <c r="P235" s="25">
        <f t="shared" si="324"/>
        <v>0</v>
      </c>
      <c r="Q235" s="26"/>
      <c r="R235" s="26"/>
      <c r="S235" s="26"/>
      <c r="T235" s="27"/>
      <c r="U235" s="28">
        <f t="shared" si="292"/>
        <v>0</v>
      </c>
      <c r="V235" s="22"/>
      <c r="W235" s="22"/>
      <c r="X235" s="40"/>
      <c r="Y235" s="22"/>
      <c r="Z235" s="40"/>
      <c r="AA235" s="40"/>
      <c r="AB235" s="40"/>
      <c r="AC235" s="84" t="str">
        <f t="shared" si="320"/>
        <v/>
      </c>
      <c r="AD235" s="85" t="str">
        <f t="shared" si="321"/>
        <v/>
      </c>
      <c r="AE235" s="85" t="str">
        <f t="shared" si="322"/>
        <v/>
      </c>
    </row>
    <row r="236" spans="1:31" ht="14.25" customHeight="1" x14ac:dyDescent="0.2">
      <c r="A236" s="33">
        <f t="shared" ref="A236:B236" si="327">+A235</f>
        <v>44201</v>
      </c>
      <c r="B236" s="34">
        <f t="shared" si="327"/>
        <v>2</v>
      </c>
      <c r="C236" s="63">
        <f t="shared" si="289"/>
        <v>44201</v>
      </c>
      <c r="D236" s="19">
        <v>95</v>
      </c>
      <c r="E236" s="20"/>
      <c r="F236" s="21"/>
      <c r="G236" s="22"/>
      <c r="H236" s="22"/>
      <c r="I236" s="21"/>
      <c r="J236" s="22"/>
      <c r="K236" s="22"/>
      <c r="L236" s="23">
        <f t="shared" si="290"/>
        <v>0</v>
      </c>
      <c r="M236" s="22">
        <f t="shared" si="291"/>
        <v>0</v>
      </c>
      <c r="N236" s="24">
        <v>5</v>
      </c>
      <c r="O236" s="25">
        <v>1</v>
      </c>
      <c r="P236" s="25">
        <f t="shared" si="324"/>
        <v>0</v>
      </c>
      <c r="Q236" s="26"/>
      <c r="R236" s="26"/>
      <c r="S236" s="26"/>
      <c r="T236" s="27"/>
      <c r="U236" s="28">
        <f t="shared" si="292"/>
        <v>0</v>
      </c>
      <c r="V236" s="22"/>
      <c r="W236" s="22"/>
      <c r="X236" s="40"/>
      <c r="Y236" s="22"/>
      <c r="Z236" s="40"/>
      <c r="AA236" s="40"/>
      <c r="AB236" s="40"/>
      <c r="AC236" s="84" t="str">
        <f t="shared" si="320"/>
        <v/>
      </c>
      <c r="AD236" s="85" t="str">
        <f t="shared" si="321"/>
        <v/>
      </c>
      <c r="AE236" s="85" t="str">
        <f t="shared" si="322"/>
        <v/>
      </c>
    </row>
    <row r="237" spans="1:31" ht="14.25" customHeight="1" x14ac:dyDescent="0.2">
      <c r="A237" s="17">
        <f t="shared" si="278"/>
        <v>44202</v>
      </c>
      <c r="B237" s="18">
        <f t="shared" si="279"/>
        <v>2</v>
      </c>
      <c r="C237" s="61">
        <f t="shared" si="289"/>
        <v>44202</v>
      </c>
      <c r="D237" s="19">
        <v>96</v>
      </c>
      <c r="E237" s="20"/>
      <c r="F237" s="21"/>
      <c r="G237" s="22"/>
      <c r="H237" s="22"/>
      <c r="I237" s="21"/>
      <c r="J237" s="22"/>
      <c r="K237" s="22"/>
      <c r="L237" s="23">
        <f t="shared" si="290"/>
        <v>0</v>
      </c>
      <c r="M237" s="22">
        <f t="shared" si="291"/>
        <v>0</v>
      </c>
      <c r="N237" s="24">
        <v>5</v>
      </c>
      <c r="O237" s="25">
        <v>1</v>
      </c>
      <c r="P237" s="25">
        <f t="shared" ref="P237" si="328">+IF(J237&gt;0,O237*0.8,0)</f>
        <v>0</v>
      </c>
      <c r="Q237" s="26"/>
      <c r="R237" s="26"/>
      <c r="S237" s="26"/>
      <c r="T237" s="27"/>
      <c r="U237" s="83">
        <f t="shared" si="292"/>
        <v>0</v>
      </c>
      <c r="V237" s="22">
        <f t="shared" si="281"/>
        <v>0</v>
      </c>
      <c r="W237" s="74">
        <f>+Tabla1[[#This Row],[RESULTADO DEL DÍA]]+W232</f>
        <v>2481.2999999999979</v>
      </c>
      <c r="X237" s="22">
        <f>+X232+Tabla1[[#This Row],[Objetivo presupuestado]]</f>
        <v>3150</v>
      </c>
      <c r="Y237" s="22" t="str">
        <f t="shared" ref="Y237" si="329">IF(AF237=0,"0",10)</f>
        <v>0</v>
      </c>
      <c r="Z237" s="22" t="str">
        <f t="shared" ref="Z237" si="330">IF(AF237=0,"0",50)</f>
        <v>0</v>
      </c>
      <c r="AA237" s="27">
        <f t="shared" ref="AA237" si="331">+IFERROR(AF240/(AG240*-1),AF240)</f>
        <v>0</v>
      </c>
      <c r="AB237" s="75" t="str">
        <f t="shared" ref="AB237" si="332">+IFERROR(AF241/AF237,"0")</f>
        <v>0</v>
      </c>
      <c r="AC237" s="84" t="str">
        <f t="shared" si="320"/>
        <v/>
      </c>
      <c r="AD237" s="85" t="str">
        <f t="shared" si="321"/>
        <v/>
      </c>
      <c r="AE237" s="85" t="str">
        <f t="shared" si="322"/>
        <v/>
      </c>
    </row>
    <row r="238" spans="1:31" ht="14.25" customHeight="1" x14ac:dyDescent="0.2">
      <c r="A238" s="31">
        <f t="shared" ref="A238:B238" si="333">+A237</f>
        <v>44202</v>
      </c>
      <c r="B238" s="32">
        <f t="shared" si="333"/>
        <v>2</v>
      </c>
      <c r="C238" s="62">
        <f t="shared" si="289"/>
        <v>44202</v>
      </c>
      <c r="D238" s="19">
        <v>97</v>
      </c>
      <c r="E238" s="20"/>
      <c r="F238" s="21"/>
      <c r="G238" s="22"/>
      <c r="H238" s="22"/>
      <c r="I238" s="21"/>
      <c r="J238" s="22"/>
      <c r="K238" s="22"/>
      <c r="L238" s="23">
        <f t="shared" si="290"/>
        <v>0</v>
      </c>
      <c r="M238" s="22">
        <f t="shared" si="291"/>
        <v>0</v>
      </c>
      <c r="N238" s="24">
        <v>5</v>
      </c>
      <c r="O238" s="25">
        <v>1</v>
      </c>
      <c r="P238" s="25">
        <f t="shared" ref="P238:P241" si="334">+IF(J238&gt;0,O238*1,0)</f>
        <v>0</v>
      </c>
      <c r="Q238" s="26"/>
      <c r="R238" s="26"/>
      <c r="S238" s="26"/>
      <c r="T238" s="27"/>
      <c r="U238" s="28">
        <f t="shared" si="292"/>
        <v>0</v>
      </c>
      <c r="V238" s="22"/>
      <c r="W238" s="22"/>
      <c r="X238" s="40"/>
      <c r="Y238" s="22"/>
      <c r="Z238" s="40"/>
      <c r="AA238" s="73"/>
      <c r="AB238" s="73"/>
      <c r="AC238" s="84" t="str">
        <f t="shared" si="320"/>
        <v/>
      </c>
      <c r="AD238" s="85" t="str">
        <f t="shared" si="321"/>
        <v/>
      </c>
      <c r="AE238" s="85" t="str">
        <f t="shared" si="322"/>
        <v/>
      </c>
    </row>
    <row r="239" spans="1:31" ht="14.25" customHeight="1" x14ac:dyDescent="0.2">
      <c r="A239" s="31">
        <f t="shared" ref="A239:B239" si="335">+A238</f>
        <v>44202</v>
      </c>
      <c r="B239" s="32">
        <f t="shared" si="335"/>
        <v>2</v>
      </c>
      <c r="C239" s="62">
        <f t="shared" si="289"/>
        <v>44202</v>
      </c>
      <c r="D239" s="19">
        <v>98</v>
      </c>
      <c r="E239" s="20"/>
      <c r="F239" s="21"/>
      <c r="G239" s="22"/>
      <c r="H239" s="22"/>
      <c r="I239" s="21"/>
      <c r="J239" s="22"/>
      <c r="K239" s="22"/>
      <c r="L239" s="23">
        <f t="shared" si="290"/>
        <v>0</v>
      </c>
      <c r="M239" s="22">
        <f t="shared" si="291"/>
        <v>0</v>
      </c>
      <c r="N239" s="24">
        <v>5</v>
      </c>
      <c r="O239" s="25">
        <v>1</v>
      </c>
      <c r="P239" s="25">
        <f t="shared" si="334"/>
        <v>0</v>
      </c>
      <c r="Q239" s="26"/>
      <c r="R239" s="26"/>
      <c r="S239" s="26"/>
      <c r="T239" s="27"/>
      <c r="U239" s="28">
        <f t="shared" si="292"/>
        <v>0</v>
      </c>
      <c r="V239" s="22"/>
      <c r="W239" s="22"/>
      <c r="X239" s="40"/>
      <c r="Y239" s="22"/>
      <c r="Z239" s="40"/>
      <c r="AA239" s="40"/>
      <c r="AB239" s="40"/>
      <c r="AC239" s="84" t="str">
        <f t="shared" si="320"/>
        <v/>
      </c>
      <c r="AD239" s="85" t="str">
        <f t="shared" si="321"/>
        <v/>
      </c>
      <c r="AE239" s="85" t="str">
        <f t="shared" si="322"/>
        <v/>
      </c>
    </row>
    <row r="240" spans="1:31" ht="14.25" customHeight="1" x14ac:dyDescent="0.2">
      <c r="A240" s="31">
        <f t="shared" ref="A240:B240" si="336">+A239</f>
        <v>44202</v>
      </c>
      <c r="B240" s="32">
        <f t="shared" si="336"/>
        <v>2</v>
      </c>
      <c r="C240" s="62">
        <f t="shared" si="289"/>
        <v>44202</v>
      </c>
      <c r="D240" s="19">
        <v>99</v>
      </c>
      <c r="E240" s="20"/>
      <c r="F240" s="21"/>
      <c r="G240" s="22"/>
      <c r="H240" s="22"/>
      <c r="I240" s="21"/>
      <c r="J240" s="22"/>
      <c r="K240" s="22"/>
      <c r="L240" s="23">
        <f t="shared" si="290"/>
        <v>0</v>
      </c>
      <c r="M240" s="22">
        <f t="shared" si="291"/>
        <v>0</v>
      </c>
      <c r="N240" s="24">
        <v>5</v>
      </c>
      <c r="O240" s="25">
        <v>1</v>
      </c>
      <c r="P240" s="25">
        <f t="shared" si="334"/>
        <v>0</v>
      </c>
      <c r="Q240" s="26"/>
      <c r="R240" s="26"/>
      <c r="S240" s="26"/>
      <c r="T240" s="27"/>
      <c r="U240" s="28">
        <f t="shared" si="292"/>
        <v>0</v>
      </c>
      <c r="V240" s="22"/>
      <c r="W240" s="22"/>
      <c r="X240" s="40"/>
      <c r="Y240" s="22"/>
      <c r="Z240" s="40"/>
      <c r="AA240" s="40"/>
      <c r="AB240" s="40"/>
      <c r="AC240" s="84" t="str">
        <f t="shared" si="320"/>
        <v/>
      </c>
      <c r="AD240" s="85" t="str">
        <f t="shared" si="321"/>
        <v/>
      </c>
      <c r="AE240" s="85" t="str">
        <f t="shared" si="322"/>
        <v/>
      </c>
    </row>
    <row r="241" spans="1:31" ht="14.25" customHeight="1" x14ac:dyDescent="0.2">
      <c r="A241" s="33">
        <f t="shared" ref="A241:B241" si="337">+A240</f>
        <v>44202</v>
      </c>
      <c r="B241" s="34">
        <f t="shared" si="337"/>
        <v>2</v>
      </c>
      <c r="C241" s="63">
        <f t="shared" si="289"/>
        <v>44202</v>
      </c>
      <c r="D241" s="19">
        <v>100</v>
      </c>
      <c r="E241" s="20"/>
      <c r="F241" s="21"/>
      <c r="G241" s="22"/>
      <c r="H241" s="22"/>
      <c r="I241" s="21"/>
      <c r="J241" s="22"/>
      <c r="K241" s="22"/>
      <c r="L241" s="23">
        <f t="shared" si="290"/>
        <v>0</v>
      </c>
      <c r="M241" s="22">
        <f t="shared" si="291"/>
        <v>0</v>
      </c>
      <c r="N241" s="24">
        <v>5</v>
      </c>
      <c r="O241" s="25">
        <v>1</v>
      </c>
      <c r="P241" s="25">
        <f t="shared" si="334"/>
        <v>0</v>
      </c>
      <c r="Q241" s="26"/>
      <c r="R241" s="26"/>
      <c r="S241" s="26"/>
      <c r="T241" s="27"/>
      <c r="U241" s="28">
        <f t="shared" si="292"/>
        <v>0</v>
      </c>
      <c r="V241" s="22"/>
      <c r="W241" s="22"/>
      <c r="X241" s="40"/>
      <c r="Y241" s="22"/>
      <c r="Z241" s="40"/>
      <c r="AA241" s="40"/>
      <c r="AB241" s="40"/>
      <c r="AC241" s="84" t="str">
        <f t="shared" si="320"/>
        <v/>
      </c>
      <c r="AD241" s="85" t="str">
        <f t="shared" si="321"/>
        <v/>
      </c>
      <c r="AE241" s="85" t="str">
        <f t="shared" si="322"/>
        <v/>
      </c>
    </row>
    <row r="242" spans="1:31" ht="14.25" customHeight="1" x14ac:dyDescent="0.2">
      <c r="A242" s="17">
        <f t="shared" si="278"/>
        <v>44203</v>
      </c>
      <c r="B242" s="18">
        <f t="shared" si="279"/>
        <v>2</v>
      </c>
      <c r="C242" s="61">
        <f t="shared" si="289"/>
        <v>44203</v>
      </c>
      <c r="D242" s="19">
        <v>101</v>
      </c>
      <c r="E242" s="20"/>
      <c r="F242" s="21"/>
      <c r="G242" s="22"/>
      <c r="H242" s="22"/>
      <c r="I242" s="21"/>
      <c r="J242" s="22"/>
      <c r="K242" s="22"/>
      <c r="L242" s="23">
        <f t="shared" si="290"/>
        <v>0</v>
      </c>
      <c r="M242" s="22">
        <f t="shared" si="291"/>
        <v>0</v>
      </c>
      <c r="N242" s="24">
        <v>5</v>
      </c>
      <c r="O242" s="25">
        <v>1</v>
      </c>
      <c r="P242" s="25">
        <f t="shared" ref="P242" si="338">+IF(J242&gt;0,O242*0.8,0)</f>
        <v>0</v>
      </c>
      <c r="Q242" s="26"/>
      <c r="R242" s="26"/>
      <c r="S242" s="26"/>
      <c r="T242" s="27"/>
      <c r="U242" s="83">
        <f t="shared" si="292"/>
        <v>0</v>
      </c>
      <c r="V242" s="22">
        <f t="shared" si="281"/>
        <v>0</v>
      </c>
      <c r="W242" s="74">
        <f>+Tabla1[[#This Row],[RESULTADO DEL DÍA]]+W237</f>
        <v>2481.2999999999979</v>
      </c>
      <c r="X242" s="22">
        <f>+X237+Tabla1[[#This Row],[Objetivo presupuestado]]</f>
        <v>3150</v>
      </c>
      <c r="Y242" s="22" t="str">
        <f t="shared" ref="Y242" si="339">IF(AF242=0,"0",10)</f>
        <v>0</v>
      </c>
      <c r="Z242" s="22" t="str">
        <f t="shared" ref="Z242" si="340">IF(AF242=0,"0",50)</f>
        <v>0</v>
      </c>
      <c r="AA242" s="27">
        <f t="shared" ref="AA242" si="341">+IFERROR(AF245/(AG245*-1),AF245)</f>
        <v>0</v>
      </c>
      <c r="AB242" s="75" t="str">
        <f t="shared" ref="AB242" si="342">+IFERROR(AF246/AF242,"0")</f>
        <v>0</v>
      </c>
      <c r="AC242" s="84" t="str">
        <f t="shared" si="320"/>
        <v/>
      </c>
      <c r="AD242" s="85" t="str">
        <f t="shared" si="321"/>
        <v/>
      </c>
      <c r="AE242" s="85" t="str">
        <f t="shared" si="322"/>
        <v/>
      </c>
    </row>
    <row r="243" spans="1:31" ht="14.25" customHeight="1" x14ac:dyDescent="0.2">
      <c r="A243" s="31">
        <f t="shared" ref="A243:B243" si="343">+A242</f>
        <v>44203</v>
      </c>
      <c r="B243" s="32">
        <f t="shared" si="343"/>
        <v>2</v>
      </c>
      <c r="C243" s="62">
        <f t="shared" si="289"/>
        <v>44203</v>
      </c>
      <c r="D243" s="19">
        <v>102</v>
      </c>
      <c r="E243" s="20"/>
      <c r="F243" s="21"/>
      <c r="G243" s="22"/>
      <c r="H243" s="22"/>
      <c r="I243" s="21"/>
      <c r="J243" s="22"/>
      <c r="K243" s="22"/>
      <c r="L243" s="23">
        <f t="shared" si="290"/>
        <v>0</v>
      </c>
      <c r="M243" s="22">
        <f t="shared" si="291"/>
        <v>0</v>
      </c>
      <c r="N243" s="24">
        <v>5</v>
      </c>
      <c r="O243" s="25">
        <v>1</v>
      </c>
      <c r="P243" s="25">
        <f t="shared" ref="P243:P246" si="344">+IF(J243&gt;0,O243*1,0)</f>
        <v>0</v>
      </c>
      <c r="Q243" s="26"/>
      <c r="R243" s="26"/>
      <c r="S243" s="26"/>
      <c r="T243" s="27"/>
      <c r="U243" s="28">
        <f t="shared" si="292"/>
        <v>0</v>
      </c>
      <c r="V243" s="22"/>
      <c r="W243" s="22"/>
      <c r="X243" s="40"/>
      <c r="Y243" s="22"/>
      <c r="Z243" s="40"/>
      <c r="AA243" s="73"/>
      <c r="AB243" s="73"/>
      <c r="AC243" s="84" t="str">
        <f t="shared" si="320"/>
        <v/>
      </c>
      <c r="AD243" s="85" t="str">
        <f t="shared" si="321"/>
        <v/>
      </c>
      <c r="AE243" s="85" t="str">
        <f t="shared" si="322"/>
        <v/>
      </c>
    </row>
    <row r="244" spans="1:31" ht="14.25" customHeight="1" x14ac:dyDescent="0.2">
      <c r="A244" s="31">
        <f t="shared" ref="A244:B244" si="345">+A243</f>
        <v>44203</v>
      </c>
      <c r="B244" s="32">
        <f t="shared" si="345"/>
        <v>2</v>
      </c>
      <c r="C244" s="62">
        <f t="shared" si="289"/>
        <v>44203</v>
      </c>
      <c r="D244" s="19">
        <v>103</v>
      </c>
      <c r="E244" s="20"/>
      <c r="F244" s="21"/>
      <c r="G244" s="22"/>
      <c r="H244" s="22"/>
      <c r="I244" s="21"/>
      <c r="J244" s="22"/>
      <c r="K244" s="22"/>
      <c r="L244" s="23">
        <f t="shared" si="290"/>
        <v>0</v>
      </c>
      <c r="M244" s="22">
        <f t="shared" si="291"/>
        <v>0</v>
      </c>
      <c r="N244" s="24">
        <v>5</v>
      </c>
      <c r="O244" s="25">
        <v>1</v>
      </c>
      <c r="P244" s="25">
        <f t="shared" si="344"/>
        <v>0</v>
      </c>
      <c r="Q244" s="26"/>
      <c r="R244" s="26"/>
      <c r="S244" s="26"/>
      <c r="T244" s="27"/>
      <c r="U244" s="28">
        <f t="shared" si="292"/>
        <v>0</v>
      </c>
      <c r="V244" s="22"/>
      <c r="W244" s="22"/>
      <c r="X244" s="40"/>
      <c r="Y244" s="22"/>
      <c r="Z244" s="40"/>
      <c r="AA244" s="40"/>
      <c r="AB244" s="40"/>
      <c r="AC244" s="84" t="str">
        <f t="shared" si="320"/>
        <v/>
      </c>
      <c r="AD244" s="85" t="str">
        <f t="shared" si="321"/>
        <v/>
      </c>
      <c r="AE244" s="85" t="str">
        <f t="shared" si="322"/>
        <v/>
      </c>
    </row>
    <row r="245" spans="1:31" ht="14.25" customHeight="1" x14ac:dyDescent="0.2">
      <c r="A245" s="31">
        <f t="shared" ref="A245:B245" si="346">+A244</f>
        <v>44203</v>
      </c>
      <c r="B245" s="32">
        <f t="shared" si="346"/>
        <v>2</v>
      </c>
      <c r="C245" s="62">
        <f t="shared" si="289"/>
        <v>44203</v>
      </c>
      <c r="D245" s="19">
        <v>104</v>
      </c>
      <c r="E245" s="20"/>
      <c r="F245" s="21"/>
      <c r="G245" s="22"/>
      <c r="H245" s="22"/>
      <c r="I245" s="21"/>
      <c r="J245" s="22"/>
      <c r="K245" s="22"/>
      <c r="L245" s="23">
        <f t="shared" si="290"/>
        <v>0</v>
      </c>
      <c r="M245" s="22">
        <f t="shared" si="291"/>
        <v>0</v>
      </c>
      <c r="N245" s="24">
        <v>5</v>
      </c>
      <c r="O245" s="25">
        <v>1</v>
      </c>
      <c r="P245" s="25">
        <f t="shared" si="344"/>
        <v>0</v>
      </c>
      <c r="Q245" s="26"/>
      <c r="R245" s="26"/>
      <c r="S245" s="26"/>
      <c r="T245" s="27"/>
      <c r="U245" s="28">
        <f t="shared" si="292"/>
        <v>0</v>
      </c>
      <c r="V245" s="22"/>
      <c r="W245" s="22"/>
      <c r="X245" s="40"/>
      <c r="Y245" s="22"/>
      <c r="Z245" s="40"/>
      <c r="AA245" s="40"/>
      <c r="AB245" s="40"/>
      <c r="AC245" s="84" t="str">
        <f t="shared" si="320"/>
        <v/>
      </c>
      <c r="AD245" s="85" t="str">
        <f t="shared" si="321"/>
        <v/>
      </c>
      <c r="AE245" s="85" t="str">
        <f t="shared" si="322"/>
        <v/>
      </c>
    </row>
    <row r="246" spans="1:31" ht="14.25" customHeight="1" x14ac:dyDescent="0.2">
      <c r="A246" s="33">
        <f t="shared" ref="A246:B246" si="347">+A245</f>
        <v>44203</v>
      </c>
      <c r="B246" s="34">
        <f t="shared" si="347"/>
        <v>2</v>
      </c>
      <c r="C246" s="63">
        <f t="shared" si="289"/>
        <v>44203</v>
      </c>
      <c r="D246" s="19">
        <v>105</v>
      </c>
      <c r="E246" s="20"/>
      <c r="F246" s="21"/>
      <c r="G246" s="22"/>
      <c r="H246" s="22"/>
      <c r="I246" s="21"/>
      <c r="J246" s="22"/>
      <c r="K246" s="22"/>
      <c r="L246" s="23">
        <f t="shared" si="290"/>
        <v>0</v>
      </c>
      <c r="M246" s="22">
        <f t="shared" si="291"/>
        <v>0</v>
      </c>
      <c r="N246" s="24">
        <v>5</v>
      </c>
      <c r="O246" s="25">
        <v>1</v>
      </c>
      <c r="P246" s="25">
        <f t="shared" si="344"/>
        <v>0</v>
      </c>
      <c r="Q246" s="26"/>
      <c r="R246" s="26"/>
      <c r="S246" s="26"/>
      <c r="T246" s="27"/>
      <c r="U246" s="28">
        <f t="shared" si="292"/>
        <v>0</v>
      </c>
      <c r="V246" s="22"/>
      <c r="W246" s="22"/>
      <c r="X246" s="40"/>
      <c r="Y246" s="22"/>
      <c r="Z246" s="40"/>
      <c r="AA246" s="40"/>
      <c r="AB246" s="40"/>
      <c r="AC246" s="84" t="str">
        <f t="shared" si="320"/>
        <v/>
      </c>
      <c r="AD246" s="85" t="str">
        <f t="shared" si="321"/>
        <v/>
      </c>
      <c r="AE246" s="85" t="str">
        <f t="shared" si="322"/>
        <v/>
      </c>
    </row>
    <row r="247" spans="1:31" ht="14.25" customHeight="1" x14ac:dyDescent="0.2">
      <c r="A247" s="17">
        <f t="shared" si="278"/>
        <v>44204</v>
      </c>
      <c r="B247" s="18">
        <f t="shared" si="279"/>
        <v>2</v>
      </c>
      <c r="C247" s="61">
        <f t="shared" si="289"/>
        <v>44204</v>
      </c>
      <c r="D247" s="19">
        <v>106</v>
      </c>
      <c r="E247" s="20"/>
      <c r="F247" s="21"/>
      <c r="G247" s="22"/>
      <c r="H247" s="22"/>
      <c r="I247" s="21"/>
      <c r="J247" s="22"/>
      <c r="K247" s="22"/>
      <c r="L247" s="23">
        <f t="shared" si="290"/>
        <v>0</v>
      </c>
      <c r="M247" s="22">
        <f t="shared" si="291"/>
        <v>0</v>
      </c>
      <c r="N247" s="24">
        <v>5</v>
      </c>
      <c r="O247" s="25">
        <v>1</v>
      </c>
      <c r="P247" s="25">
        <f t="shared" ref="P247" si="348">+IF(J247&gt;0,O247*0.8,0)</f>
        <v>0</v>
      </c>
      <c r="Q247" s="26"/>
      <c r="R247" s="26"/>
      <c r="S247" s="26"/>
      <c r="T247" s="27"/>
      <c r="U247" s="83">
        <f t="shared" si="292"/>
        <v>0</v>
      </c>
      <c r="V247" s="22">
        <f t="shared" si="281"/>
        <v>0</v>
      </c>
      <c r="W247" s="74">
        <f>+Tabla1[[#This Row],[RESULTADO DEL DÍA]]+W242</f>
        <v>2481.2999999999979</v>
      </c>
      <c r="X247" s="22">
        <f>+X242+Tabla1[[#This Row],[Objetivo presupuestado]]</f>
        <v>3150</v>
      </c>
      <c r="Y247" s="22" t="str">
        <f t="shared" ref="Y247" si="349">IF(AF247=0,"0",10)</f>
        <v>0</v>
      </c>
      <c r="Z247" s="22" t="str">
        <f t="shared" ref="Z247" si="350">IF(AF247=0,"0",50)</f>
        <v>0</v>
      </c>
      <c r="AA247" s="27">
        <f t="shared" ref="AA247" si="351">+IFERROR(AF250/(AG250*-1),AF250)</f>
        <v>0</v>
      </c>
      <c r="AB247" s="75" t="str">
        <f t="shared" ref="AB247" si="352">+IFERROR(AF251/AF247,"0")</f>
        <v>0</v>
      </c>
      <c r="AC247" s="84" t="str">
        <f t="shared" si="320"/>
        <v/>
      </c>
      <c r="AD247" s="85" t="str">
        <f t="shared" si="321"/>
        <v/>
      </c>
      <c r="AE247" s="85" t="str">
        <f t="shared" si="322"/>
        <v/>
      </c>
    </row>
    <row r="248" spans="1:31" ht="14.25" customHeight="1" x14ac:dyDescent="0.2">
      <c r="A248" s="31">
        <f t="shared" ref="A248:B248" si="353">+A247</f>
        <v>44204</v>
      </c>
      <c r="B248" s="32">
        <f t="shared" si="353"/>
        <v>2</v>
      </c>
      <c r="C248" s="62">
        <f t="shared" si="289"/>
        <v>44204</v>
      </c>
      <c r="D248" s="19">
        <v>107</v>
      </c>
      <c r="E248" s="20"/>
      <c r="F248" s="21"/>
      <c r="G248" s="22"/>
      <c r="H248" s="22"/>
      <c r="I248" s="21"/>
      <c r="J248" s="22"/>
      <c r="K248" s="22"/>
      <c r="L248" s="23">
        <f t="shared" si="290"/>
        <v>0</v>
      </c>
      <c r="M248" s="22">
        <f t="shared" si="291"/>
        <v>0</v>
      </c>
      <c r="N248" s="24">
        <v>5</v>
      </c>
      <c r="O248" s="25">
        <v>1</v>
      </c>
      <c r="P248" s="25">
        <f t="shared" ref="P248:P251" si="354">+IF(J248&gt;0,O248*1,0)</f>
        <v>0</v>
      </c>
      <c r="Q248" s="26"/>
      <c r="R248" s="26"/>
      <c r="S248" s="26"/>
      <c r="T248" s="27"/>
      <c r="U248" s="28">
        <f t="shared" si="292"/>
        <v>0</v>
      </c>
      <c r="V248" s="22"/>
      <c r="W248" s="22"/>
      <c r="X248" s="40"/>
      <c r="Y248" s="22"/>
      <c r="Z248" s="40"/>
      <c r="AA248" s="73"/>
      <c r="AB248" s="73"/>
      <c r="AC248" s="84" t="str">
        <f t="shared" si="320"/>
        <v/>
      </c>
      <c r="AD248" s="85" t="str">
        <f t="shared" si="321"/>
        <v/>
      </c>
      <c r="AE248" s="85" t="str">
        <f t="shared" si="322"/>
        <v/>
      </c>
    </row>
    <row r="249" spans="1:31" ht="14.25" customHeight="1" x14ac:dyDescent="0.2">
      <c r="A249" s="31">
        <f t="shared" ref="A249:B249" si="355">+A248</f>
        <v>44204</v>
      </c>
      <c r="B249" s="32">
        <f t="shared" si="355"/>
        <v>2</v>
      </c>
      <c r="C249" s="62">
        <f t="shared" si="289"/>
        <v>44204</v>
      </c>
      <c r="D249" s="19">
        <v>108</v>
      </c>
      <c r="E249" s="20"/>
      <c r="F249" s="21"/>
      <c r="G249" s="22"/>
      <c r="H249" s="22"/>
      <c r="I249" s="21"/>
      <c r="J249" s="22"/>
      <c r="K249" s="22"/>
      <c r="L249" s="23">
        <f t="shared" si="290"/>
        <v>0</v>
      </c>
      <c r="M249" s="22">
        <f t="shared" si="291"/>
        <v>0</v>
      </c>
      <c r="N249" s="24">
        <v>5</v>
      </c>
      <c r="O249" s="25">
        <v>1</v>
      </c>
      <c r="P249" s="25">
        <f t="shared" si="354"/>
        <v>0</v>
      </c>
      <c r="Q249" s="26"/>
      <c r="R249" s="26"/>
      <c r="S249" s="26"/>
      <c r="T249" s="27"/>
      <c r="U249" s="28">
        <f t="shared" si="292"/>
        <v>0</v>
      </c>
      <c r="V249" s="22"/>
      <c r="W249" s="22"/>
      <c r="X249" s="40"/>
      <c r="Y249" s="22"/>
      <c r="Z249" s="40"/>
      <c r="AA249" s="40"/>
      <c r="AB249" s="40"/>
      <c r="AC249" s="84" t="str">
        <f t="shared" si="320"/>
        <v/>
      </c>
      <c r="AD249" s="85" t="str">
        <f t="shared" si="321"/>
        <v/>
      </c>
      <c r="AE249" s="85" t="str">
        <f t="shared" si="322"/>
        <v/>
      </c>
    </row>
    <row r="250" spans="1:31" ht="14.25" customHeight="1" x14ac:dyDescent="0.2">
      <c r="A250" s="31">
        <f t="shared" ref="A250:B250" si="356">+A249</f>
        <v>44204</v>
      </c>
      <c r="B250" s="32">
        <f t="shared" si="356"/>
        <v>2</v>
      </c>
      <c r="C250" s="62">
        <f t="shared" si="289"/>
        <v>44204</v>
      </c>
      <c r="D250" s="19">
        <v>109</v>
      </c>
      <c r="E250" s="20"/>
      <c r="F250" s="21"/>
      <c r="G250" s="22"/>
      <c r="H250" s="22"/>
      <c r="I250" s="21"/>
      <c r="J250" s="22"/>
      <c r="K250" s="22"/>
      <c r="L250" s="23">
        <f t="shared" si="290"/>
        <v>0</v>
      </c>
      <c r="M250" s="22">
        <f t="shared" si="291"/>
        <v>0</v>
      </c>
      <c r="N250" s="24">
        <v>5</v>
      </c>
      <c r="O250" s="25">
        <v>1</v>
      </c>
      <c r="P250" s="25">
        <f t="shared" si="354"/>
        <v>0</v>
      </c>
      <c r="Q250" s="26"/>
      <c r="R250" s="26"/>
      <c r="S250" s="26"/>
      <c r="T250" s="27"/>
      <c r="U250" s="28">
        <f t="shared" si="292"/>
        <v>0</v>
      </c>
      <c r="V250" s="22"/>
      <c r="W250" s="22"/>
      <c r="X250" s="40"/>
      <c r="Y250" s="22"/>
      <c r="Z250" s="40"/>
      <c r="AA250" s="40"/>
      <c r="AB250" s="40"/>
      <c r="AC250" s="84" t="str">
        <f t="shared" si="320"/>
        <v/>
      </c>
      <c r="AD250" s="85" t="str">
        <f t="shared" si="321"/>
        <v/>
      </c>
      <c r="AE250" s="85" t="str">
        <f t="shared" si="322"/>
        <v/>
      </c>
    </row>
    <row r="251" spans="1:31" ht="14.25" customHeight="1" x14ac:dyDescent="0.2">
      <c r="A251" s="33">
        <f t="shared" ref="A251:B251" si="357">+A250</f>
        <v>44204</v>
      </c>
      <c r="B251" s="34">
        <f t="shared" si="357"/>
        <v>2</v>
      </c>
      <c r="C251" s="63">
        <f t="shared" si="289"/>
        <v>44204</v>
      </c>
      <c r="D251" s="19">
        <v>110</v>
      </c>
      <c r="E251" s="20"/>
      <c r="F251" s="21"/>
      <c r="G251" s="22"/>
      <c r="H251" s="22"/>
      <c r="I251" s="21"/>
      <c r="J251" s="22"/>
      <c r="K251" s="22"/>
      <c r="L251" s="23">
        <f t="shared" si="290"/>
        <v>0</v>
      </c>
      <c r="M251" s="22">
        <f t="shared" si="291"/>
        <v>0</v>
      </c>
      <c r="N251" s="24">
        <v>5</v>
      </c>
      <c r="O251" s="25">
        <v>1</v>
      </c>
      <c r="P251" s="25">
        <f t="shared" si="354"/>
        <v>0</v>
      </c>
      <c r="Q251" s="26"/>
      <c r="R251" s="26"/>
      <c r="S251" s="26"/>
      <c r="T251" s="27"/>
      <c r="U251" s="28">
        <f t="shared" si="292"/>
        <v>0</v>
      </c>
      <c r="V251" s="22"/>
      <c r="W251" s="22"/>
      <c r="X251" s="40"/>
      <c r="Y251" s="22"/>
      <c r="Z251" s="40"/>
      <c r="AA251" s="40"/>
      <c r="AB251" s="40"/>
      <c r="AC251" s="84" t="str">
        <f t="shared" si="320"/>
        <v/>
      </c>
      <c r="AD251" s="85" t="str">
        <f t="shared" si="321"/>
        <v/>
      </c>
      <c r="AE251" s="85" t="str">
        <f t="shared" si="322"/>
        <v/>
      </c>
    </row>
    <row r="252" spans="1:31" ht="14.25" customHeight="1" x14ac:dyDescent="0.2">
      <c r="A252" s="17">
        <f t="shared" si="278"/>
        <v>44205</v>
      </c>
      <c r="B252" s="18">
        <f t="shared" si="279"/>
        <v>2</v>
      </c>
      <c r="C252" s="61">
        <f t="shared" si="289"/>
        <v>44205</v>
      </c>
      <c r="D252" s="19">
        <v>111</v>
      </c>
      <c r="E252" s="20"/>
      <c r="F252" s="21"/>
      <c r="G252" s="22"/>
      <c r="H252" s="22"/>
      <c r="I252" s="21"/>
      <c r="J252" s="22"/>
      <c r="K252" s="22"/>
      <c r="L252" s="23">
        <f t="shared" si="290"/>
        <v>0</v>
      </c>
      <c r="M252" s="22">
        <f t="shared" si="291"/>
        <v>0</v>
      </c>
      <c r="N252" s="24">
        <v>5</v>
      </c>
      <c r="O252" s="25">
        <v>1</v>
      </c>
      <c r="P252" s="25">
        <f t="shared" ref="P252" si="358">+IF(J252&gt;0,O252*0.8,0)</f>
        <v>0</v>
      </c>
      <c r="Q252" s="26"/>
      <c r="R252" s="26"/>
      <c r="S252" s="26"/>
      <c r="T252" s="27"/>
      <c r="U252" s="83">
        <f t="shared" si="292"/>
        <v>0</v>
      </c>
      <c r="V252" s="22">
        <f t="shared" si="281"/>
        <v>0</v>
      </c>
      <c r="W252" s="74">
        <f>+Tabla1[[#This Row],[RESULTADO DEL DÍA]]+W247</f>
        <v>2481.2999999999979</v>
      </c>
      <c r="X252" s="22">
        <f>+X247+Tabla1[[#This Row],[Objetivo presupuestado]]</f>
        <v>3150</v>
      </c>
      <c r="Y252" s="22" t="str">
        <f t="shared" ref="Y252" si="359">IF(AF252=0,"0",10)</f>
        <v>0</v>
      </c>
      <c r="Z252" s="22" t="str">
        <f t="shared" ref="Z252" si="360">IF(AF252=0,"0",50)</f>
        <v>0</v>
      </c>
      <c r="AA252" s="27">
        <f t="shared" ref="AA252" si="361">+IFERROR(AF255/(AG255*-1),AF255)</f>
        <v>0</v>
      </c>
      <c r="AB252" s="75" t="str">
        <f t="shared" ref="AB252" si="362">+IFERROR(AF256/AF252,"0")</f>
        <v>0</v>
      </c>
      <c r="AC252" s="84" t="str">
        <f t="shared" si="320"/>
        <v/>
      </c>
      <c r="AD252" s="85" t="str">
        <f t="shared" si="321"/>
        <v/>
      </c>
      <c r="AE252" s="85" t="str">
        <f t="shared" si="322"/>
        <v/>
      </c>
    </row>
    <row r="253" spans="1:31" ht="14.25" customHeight="1" x14ac:dyDescent="0.2">
      <c r="A253" s="31">
        <f t="shared" ref="A253:B253" si="363">+A252</f>
        <v>44205</v>
      </c>
      <c r="B253" s="32">
        <f t="shared" si="363"/>
        <v>2</v>
      </c>
      <c r="C253" s="62">
        <f t="shared" si="289"/>
        <v>44205</v>
      </c>
      <c r="D253" s="19">
        <v>112</v>
      </c>
      <c r="E253" s="20"/>
      <c r="F253" s="21"/>
      <c r="G253" s="22"/>
      <c r="H253" s="22"/>
      <c r="I253" s="21"/>
      <c r="J253" s="22"/>
      <c r="K253" s="22"/>
      <c r="L253" s="23">
        <f t="shared" si="290"/>
        <v>0</v>
      </c>
      <c r="M253" s="22">
        <f t="shared" si="291"/>
        <v>0</v>
      </c>
      <c r="N253" s="24">
        <v>5</v>
      </c>
      <c r="O253" s="25">
        <v>1</v>
      </c>
      <c r="P253" s="25">
        <f t="shared" ref="P253:P256" si="364">+IF(J253&gt;0,O253*1,0)</f>
        <v>0</v>
      </c>
      <c r="Q253" s="26"/>
      <c r="R253" s="26"/>
      <c r="S253" s="26"/>
      <c r="T253" s="27"/>
      <c r="U253" s="28">
        <f t="shared" si="292"/>
        <v>0</v>
      </c>
      <c r="V253" s="22"/>
      <c r="W253" s="22"/>
      <c r="X253" s="40"/>
      <c r="Y253" s="22"/>
      <c r="Z253" s="40"/>
      <c r="AA253" s="73"/>
      <c r="AB253" s="73"/>
      <c r="AC253" s="84" t="str">
        <f t="shared" si="320"/>
        <v/>
      </c>
      <c r="AD253" s="85" t="str">
        <f t="shared" si="321"/>
        <v/>
      </c>
      <c r="AE253" s="85" t="str">
        <f t="shared" si="322"/>
        <v/>
      </c>
    </row>
    <row r="254" spans="1:31" ht="14.25" customHeight="1" x14ac:dyDescent="0.2">
      <c r="A254" s="31">
        <f t="shared" ref="A254:B254" si="365">+A253</f>
        <v>44205</v>
      </c>
      <c r="B254" s="32">
        <f t="shared" si="365"/>
        <v>2</v>
      </c>
      <c r="C254" s="62">
        <f t="shared" si="289"/>
        <v>44205</v>
      </c>
      <c r="D254" s="19">
        <v>113</v>
      </c>
      <c r="E254" s="20"/>
      <c r="F254" s="21"/>
      <c r="G254" s="22"/>
      <c r="H254" s="22"/>
      <c r="I254" s="21"/>
      <c r="J254" s="22"/>
      <c r="K254" s="22"/>
      <c r="L254" s="23">
        <f t="shared" si="290"/>
        <v>0</v>
      </c>
      <c r="M254" s="22">
        <f t="shared" si="291"/>
        <v>0</v>
      </c>
      <c r="N254" s="24">
        <v>5</v>
      </c>
      <c r="O254" s="25">
        <v>1</v>
      </c>
      <c r="P254" s="25">
        <f t="shared" si="364"/>
        <v>0</v>
      </c>
      <c r="Q254" s="26"/>
      <c r="R254" s="26"/>
      <c r="S254" s="26"/>
      <c r="T254" s="27"/>
      <c r="U254" s="28">
        <f t="shared" si="292"/>
        <v>0</v>
      </c>
      <c r="V254" s="22"/>
      <c r="W254" s="22"/>
      <c r="X254" s="40"/>
      <c r="Y254" s="22"/>
      <c r="Z254" s="40"/>
      <c r="AA254" s="40"/>
      <c r="AB254" s="40"/>
      <c r="AC254" s="84" t="str">
        <f t="shared" si="320"/>
        <v/>
      </c>
      <c r="AD254" s="85" t="str">
        <f t="shared" si="321"/>
        <v/>
      </c>
      <c r="AE254" s="85" t="str">
        <f t="shared" si="322"/>
        <v/>
      </c>
    </row>
    <row r="255" spans="1:31" ht="14.25" customHeight="1" x14ac:dyDescent="0.2">
      <c r="A255" s="31">
        <f t="shared" ref="A255:B255" si="366">+A254</f>
        <v>44205</v>
      </c>
      <c r="B255" s="32">
        <f t="shared" si="366"/>
        <v>2</v>
      </c>
      <c r="C255" s="62">
        <f t="shared" si="289"/>
        <v>44205</v>
      </c>
      <c r="D255" s="19">
        <v>114</v>
      </c>
      <c r="E255" s="20"/>
      <c r="F255" s="21"/>
      <c r="G255" s="22"/>
      <c r="H255" s="22"/>
      <c r="I255" s="21"/>
      <c r="J255" s="22"/>
      <c r="K255" s="22"/>
      <c r="L255" s="23">
        <f t="shared" si="290"/>
        <v>0</v>
      </c>
      <c r="M255" s="22">
        <f t="shared" si="291"/>
        <v>0</v>
      </c>
      <c r="N255" s="24">
        <v>5</v>
      </c>
      <c r="O255" s="25">
        <v>1</v>
      </c>
      <c r="P255" s="25">
        <f t="shared" si="364"/>
        <v>0</v>
      </c>
      <c r="Q255" s="26"/>
      <c r="R255" s="26"/>
      <c r="S255" s="26"/>
      <c r="T255" s="27"/>
      <c r="U255" s="28">
        <f t="shared" si="292"/>
        <v>0</v>
      </c>
      <c r="V255" s="22"/>
      <c r="W255" s="22"/>
      <c r="X255" s="40"/>
      <c r="Y255" s="22"/>
      <c r="Z255" s="40"/>
      <c r="AA255" s="40"/>
      <c r="AB255" s="40"/>
      <c r="AC255" s="84" t="str">
        <f t="shared" si="320"/>
        <v/>
      </c>
      <c r="AD255" s="85" t="str">
        <f t="shared" si="321"/>
        <v/>
      </c>
      <c r="AE255" s="85" t="str">
        <f t="shared" si="322"/>
        <v/>
      </c>
    </row>
    <row r="256" spans="1:31" ht="14.25" customHeight="1" x14ac:dyDescent="0.2">
      <c r="A256" s="33">
        <f t="shared" ref="A256:B256" si="367">+A255</f>
        <v>44205</v>
      </c>
      <c r="B256" s="34">
        <f t="shared" si="367"/>
        <v>2</v>
      </c>
      <c r="C256" s="63">
        <f t="shared" si="289"/>
        <v>44205</v>
      </c>
      <c r="D256" s="19">
        <v>115</v>
      </c>
      <c r="E256" s="20"/>
      <c r="F256" s="21"/>
      <c r="G256" s="22"/>
      <c r="H256" s="22"/>
      <c r="I256" s="21"/>
      <c r="J256" s="22"/>
      <c r="K256" s="22"/>
      <c r="L256" s="23">
        <f t="shared" si="290"/>
        <v>0</v>
      </c>
      <c r="M256" s="22">
        <f t="shared" si="291"/>
        <v>0</v>
      </c>
      <c r="N256" s="24">
        <v>5</v>
      </c>
      <c r="O256" s="25">
        <v>1</v>
      </c>
      <c r="P256" s="25">
        <f t="shared" si="364"/>
        <v>0</v>
      </c>
      <c r="Q256" s="26"/>
      <c r="R256" s="26"/>
      <c r="S256" s="26"/>
      <c r="T256" s="27"/>
      <c r="U256" s="28">
        <f t="shared" si="292"/>
        <v>0</v>
      </c>
      <c r="V256" s="22"/>
      <c r="W256" s="22"/>
      <c r="X256" s="40"/>
      <c r="Y256" s="22"/>
      <c r="Z256" s="40"/>
      <c r="AA256" s="40"/>
      <c r="AB256" s="40"/>
      <c r="AC256" s="84" t="str">
        <f t="shared" si="320"/>
        <v/>
      </c>
      <c r="AD256" s="85" t="str">
        <f t="shared" si="321"/>
        <v/>
      </c>
      <c r="AE256" s="85" t="str">
        <f t="shared" si="322"/>
        <v/>
      </c>
    </row>
    <row r="257" spans="1:31" ht="14.25" customHeight="1" x14ac:dyDescent="0.2">
      <c r="A257" s="17">
        <f t="shared" si="278"/>
        <v>44206</v>
      </c>
      <c r="B257" s="18">
        <f t="shared" si="279"/>
        <v>2</v>
      </c>
      <c r="C257" s="61">
        <f t="shared" si="289"/>
        <v>44206</v>
      </c>
      <c r="D257" s="19">
        <v>116</v>
      </c>
      <c r="E257" s="20"/>
      <c r="F257" s="21"/>
      <c r="G257" s="22"/>
      <c r="H257" s="22"/>
      <c r="I257" s="21"/>
      <c r="J257" s="22"/>
      <c r="K257" s="22"/>
      <c r="L257" s="23">
        <f t="shared" si="290"/>
        <v>0</v>
      </c>
      <c r="M257" s="22">
        <f t="shared" si="291"/>
        <v>0</v>
      </c>
      <c r="N257" s="24">
        <v>5</v>
      </c>
      <c r="O257" s="25">
        <v>1</v>
      </c>
      <c r="P257" s="25">
        <f t="shared" ref="P257" si="368">+IF(J257&gt;0,O257*0.8,0)</f>
        <v>0</v>
      </c>
      <c r="Q257" s="26"/>
      <c r="R257" s="26"/>
      <c r="S257" s="26"/>
      <c r="T257" s="27"/>
      <c r="U257" s="83">
        <f t="shared" si="292"/>
        <v>0</v>
      </c>
      <c r="V257" s="22">
        <f t="shared" si="281"/>
        <v>0</v>
      </c>
      <c r="W257" s="74">
        <f>+Tabla1[[#This Row],[RESULTADO DEL DÍA]]+W252</f>
        <v>2481.2999999999979</v>
      </c>
      <c r="X257" s="22">
        <f>+X252+Tabla1[[#This Row],[Objetivo presupuestado]]</f>
        <v>3150</v>
      </c>
      <c r="Y257" s="22" t="str">
        <f t="shared" ref="Y257" si="369">IF(AF257=0,"0",10)</f>
        <v>0</v>
      </c>
      <c r="Z257" s="22" t="str">
        <f t="shared" ref="Z257" si="370">IF(AF257=0,"0",50)</f>
        <v>0</v>
      </c>
      <c r="AA257" s="27">
        <f t="shared" ref="AA257" si="371">+IFERROR(AF260/(AG260*-1),AF260)</f>
        <v>0</v>
      </c>
      <c r="AB257" s="75" t="str">
        <f t="shared" ref="AB257" si="372">+IFERROR(AF261/AF257,"0")</f>
        <v>0</v>
      </c>
      <c r="AC257" s="84" t="str">
        <f t="shared" si="320"/>
        <v/>
      </c>
      <c r="AD257" s="85" t="str">
        <f t="shared" si="321"/>
        <v/>
      </c>
      <c r="AE257" s="85" t="str">
        <f t="shared" si="322"/>
        <v/>
      </c>
    </row>
    <row r="258" spans="1:31" ht="14.25" customHeight="1" x14ac:dyDescent="0.2">
      <c r="A258" s="31">
        <f t="shared" ref="A258:B258" si="373">+A257</f>
        <v>44206</v>
      </c>
      <c r="B258" s="32">
        <f t="shared" si="373"/>
        <v>2</v>
      </c>
      <c r="C258" s="62">
        <f t="shared" si="289"/>
        <v>44206</v>
      </c>
      <c r="D258" s="19">
        <v>117</v>
      </c>
      <c r="E258" s="20"/>
      <c r="F258" s="21"/>
      <c r="G258" s="22"/>
      <c r="H258" s="22"/>
      <c r="I258" s="21"/>
      <c r="J258" s="22"/>
      <c r="K258" s="22"/>
      <c r="L258" s="23">
        <f t="shared" si="290"/>
        <v>0</v>
      </c>
      <c r="M258" s="22">
        <f t="shared" si="291"/>
        <v>0</v>
      </c>
      <c r="N258" s="24">
        <v>5</v>
      </c>
      <c r="O258" s="25">
        <v>1</v>
      </c>
      <c r="P258" s="25">
        <f t="shared" ref="P258:P261" si="374">+IF(J258&gt;0,O258*1,0)</f>
        <v>0</v>
      </c>
      <c r="Q258" s="26"/>
      <c r="R258" s="26"/>
      <c r="S258" s="26"/>
      <c r="T258" s="27"/>
      <c r="U258" s="28">
        <f t="shared" si="292"/>
        <v>0</v>
      </c>
      <c r="V258" s="22"/>
      <c r="W258" s="22"/>
      <c r="X258" s="40"/>
      <c r="Y258" s="22"/>
      <c r="Z258" s="40"/>
      <c r="AA258" s="73"/>
      <c r="AB258" s="73"/>
      <c r="AC258" s="84" t="str">
        <f t="shared" si="320"/>
        <v/>
      </c>
      <c r="AD258" s="85" t="str">
        <f t="shared" si="321"/>
        <v/>
      </c>
      <c r="AE258" s="85" t="str">
        <f t="shared" si="322"/>
        <v/>
      </c>
    </row>
    <row r="259" spans="1:31" ht="14.25" customHeight="1" x14ac:dyDescent="0.2">
      <c r="A259" s="31">
        <f t="shared" ref="A259:B259" si="375">+A258</f>
        <v>44206</v>
      </c>
      <c r="B259" s="32">
        <f t="shared" si="375"/>
        <v>2</v>
      </c>
      <c r="C259" s="62">
        <f t="shared" si="289"/>
        <v>44206</v>
      </c>
      <c r="D259" s="19">
        <v>118</v>
      </c>
      <c r="E259" s="20"/>
      <c r="F259" s="21"/>
      <c r="G259" s="22"/>
      <c r="H259" s="22"/>
      <c r="I259" s="21"/>
      <c r="J259" s="22"/>
      <c r="K259" s="22"/>
      <c r="L259" s="23">
        <f t="shared" si="290"/>
        <v>0</v>
      </c>
      <c r="M259" s="22">
        <f t="shared" si="291"/>
        <v>0</v>
      </c>
      <c r="N259" s="24">
        <v>5</v>
      </c>
      <c r="O259" s="25">
        <v>1</v>
      </c>
      <c r="P259" s="25">
        <f t="shared" si="374"/>
        <v>0</v>
      </c>
      <c r="Q259" s="26"/>
      <c r="R259" s="26"/>
      <c r="S259" s="26"/>
      <c r="T259" s="27"/>
      <c r="U259" s="28">
        <f t="shared" si="292"/>
        <v>0</v>
      </c>
      <c r="V259" s="22"/>
      <c r="W259" s="22"/>
      <c r="X259" s="40"/>
      <c r="Y259" s="22"/>
      <c r="Z259" s="40"/>
      <c r="AA259" s="40"/>
      <c r="AB259" s="40"/>
      <c r="AC259" s="84" t="str">
        <f t="shared" si="320"/>
        <v/>
      </c>
      <c r="AD259" s="85" t="str">
        <f t="shared" si="321"/>
        <v/>
      </c>
      <c r="AE259" s="85" t="str">
        <f t="shared" si="322"/>
        <v/>
      </c>
    </row>
    <row r="260" spans="1:31" ht="14.25" customHeight="1" x14ac:dyDescent="0.2">
      <c r="A260" s="31">
        <f t="shared" ref="A260:B260" si="376">+A259</f>
        <v>44206</v>
      </c>
      <c r="B260" s="32">
        <f t="shared" si="376"/>
        <v>2</v>
      </c>
      <c r="C260" s="62">
        <f t="shared" si="289"/>
        <v>44206</v>
      </c>
      <c r="D260" s="19">
        <v>119</v>
      </c>
      <c r="E260" s="20"/>
      <c r="F260" s="21"/>
      <c r="G260" s="22"/>
      <c r="H260" s="22"/>
      <c r="I260" s="21"/>
      <c r="J260" s="22"/>
      <c r="K260" s="22"/>
      <c r="L260" s="23">
        <f t="shared" si="290"/>
        <v>0</v>
      </c>
      <c r="M260" s="22">
        <f t="shared" si="291"/>
        <v>0</v>
      </c>
      <c r="N260" s="24">
        <v>5</v>
      </c>
      <c r="O260" s="25">
        <v>1</v>
      </c>
      <c r="P260" s="25">
        <f t="shared" si="374"/>
        <v>0</v>
      </c>
      <c r="Q260" s="26"/>
      <c r="R260" s="26"/>
      <c r="S260" s="26"/>
      <c r="T260" s="27"/>
      <c r="U260" s="28">
        <f t="shared" si="292"/>
        <v>0</v>
      </c>
      <c r="V260" s="22"/>
      <c r="W260" s="22"/>
      <c r="X260" s="40"/>
      <c r="Y260" s="22"/>
      <c r="Z260" s="40"/>
      <c r="AA260" s="40"/>
      <c r="AB260" s="40"/>
      <c r="AC260" s="84" t="str">
        <f t="shared" si="320"/>
        <v/>
      </c>
      <c r="AD260" s="85" t="str">
        <f t="shared" si="321"/>
        <v/>
      </c>
      <c r="AE260" s="85" t="str">
        <f t="shared" si="322"/>
        <v/>
      </c>
    </row>
    <row r="261" spans="1:31" ht="14.25" customHeight="1" x14ac:dyDescent="0.2">
      <c r="A261" s="33">
        <f t="shared" ref="A261:B261" si="377">+A260</f>
        <v>44206</v>
      </c>
      <c r="B261" s="34">
        <f t="shared" si="377"/>
        <v>2</v>
      </c>
      <c r="C261" s="63">
        <f t="shared" si="289"/>
        <v>44206</v>
      </c>
      <c r="D261" s="19">
        <v>120</v>
      </c>
      <c r="E261" s="20"/>
      <c r="F261" s="21"/>
      <c r="G261" s="22"/>
      <c r="H261" s="22"/>
      <c r="I261" s="21"/>
      <c r="J261" s="22"/>
      <c r="K261" s="22"/>
      <c r="L261" s="23">
        <f t="shared" si="290"/>
        <v>0</v>
      </c>
      <c r="M261" s="22">
        <f t="shared" si="291"/>
        <v>0</v>
      </c>
      <c r="N261" s="24">
        <v>5</v>
      </c>
      <c r="O261" s="25">
        <v>1</v>
      </c>
      <c r="P261" s="25">
        <f t="shared" si="374"/>
        <v>0</v>
      </c>
      <c r="Q261" s="26"/>
      <c r="R261" s="26"/>
      <c r="S261" s="26"/>
      <c r="T261" s="27"/>
      <c r="U261" s="28">
        <f t="shared" si="292"/>
        <v>0</v>
      </c>
      <c r="V261" s="22"/>
      <c r="W261" s="22"/>
      <c r="X261" s="40"/>
      <c r="Y261" s="22"/>
      <c r="Z261" s="40"/>
      <c r="AA261" s="40"/>
      <c r="AB261" s="40"/>
      <c r="AC261" s="84" t="str">
        <f t="shared" si="320"/>
        <v/>
      </c>
      <c r="AD261" s="85" t="str">
        <f t="shared" si="321"/>
        <v/>
      </c>
      <c r="AE261" s="85" t="str">
        <f t="shared" si="322"/>
        <v/>
      </c>
    </row>
    <row r="262" spans="1:31" ht="14.25" customHeight="1" x14ac:dyDescent="0.2">
      <c r="A262" s="17">
        <f t="shared" si="278"/>
        <v>44207</v>
      </c>
      <c r="B262" s="18">
        <f t="shared" si="279"/>
        <v>3</v>
      </c>
      <c r="C262" s="61">
        <f t="shared" si="289"/>
        <v>44207</v>
      </c>
      <c r="D262" s="19">
        <v>121</v>
      </c>
      <c r="E262" s="20"/>
      <c r="F262" s="21"/>
      <c r="G262" s="22"/>
      <c r="H262" s="22"/>
      <c r="I262" s="21"/>
      <c r="J262" s="22"/>
      <c r="K262" s="22"/>
      <c r="L262" s="23">
        <f t="shared" si="290"/>
        <v>0</v>
      </c>
      <c r="M262" s="22">
        <f t="shared" si="291"/>
        <v>0</v>
      </c>
      <c r="N262" s="24">
        <v>5</v>
      </c>
      <c r="O262" s="25">
        <v>1</v>
      </c>
      <c r="P262" s="25">
        <f t="shared" ref="P262" si="378">+IF(J262&gt;0,O262*0.8,0)</f>
        <v>0</v>
      </c>
      <c r="Q262" s="26"/>
      <c r="R262" s="26"/>
      <c r="S262" s="26"/>
      <c r="T262" s="27"/>
      <c r="U262" s="83">
        <f t="shared" si="292"/>
        <v>0</v>
      </c>
      <c r="V262" s="22">
        <f t="shared" si="281"/>
        <v>0</v>
      </c>
      <c r="W262" s="74">
        <f>+Tabla1[[#This Row],[RESULTADO DEL DÍA]]+W257</f>
        <v>2481.2999999999979</v>
      </c>
      <c r="X262" s="22">
        <f>+X257+Tabla1[[#This Row],[Objetivo presupuestado]]</f>
        <v>3150</v>
      </c>
      <c r="Y262" s="22" t="str">
        <f t="shared" ref="Y262" si="379">IF(AF262=0,"0",10)</f>
        <v>0</v>
      </c>
      <c r="Z262" s="22" t="str">
        <f t="shared" ref="Z262" si="380">IF(AF262=0,"0",50)</f>
        <v>0</v>
      </c>
      <c r="AA262" s="27">
        <f t="shared" ref="AA262" si="381">+IFERROR(AF265/(AG265*-1),AF265)</f>
        <v>0</v>
      </c>
      <c r="AB262" s="75" t="str">
        <f t="shared" ref="AB262" si="382">+IFERROR(AF266/AF262,"0")</f>
        <v>0</v>
      </c>
      <c r="AC262" s="84" t="str">
        <f t="shared" si="320"/>
        <v/>
      </c>
      <c r="AD262" s="85" t="str">
        <f t="shared" si="321"/>
        <v/>
      </c>
      <c r="AE262" s="85" t="str">
        <f t="shared" si="322"/>
        <v/>
      </c>
    </row>
    <row r="263" spans="1:31" ht="14.25" customHeight="1" x14ac:dyDescent="0.2">
      <c r="A263" s="31">
        <f t="shared" ref="A263:B263" si="383">+A262</f>
        <v>44207</v>
      </c>
      <c r="B263" s="32">
        <f t="shared" si="383"/>
        <v>3</v>
      </c>
      <c r="C263" s="62">
        <f t="shared" si="289"/>
        <v>44207</v>
      </c>
      <c r="D263" s="19">
        <v>122</v>
      </c>
      <c r="E263" s="20"/>
      <c r="F263" s="21"/>
      <c r="G263" s="22"/>
      <c r="H263" s="22"/>
      <c r="I263" s="21"/>
      <c r="J263" s="22"/>
      <c r="K263" s="22"/>
      <c r="L263" s="23">
        <f t="shared" si="290"/>
        <v>0</v>
      </c>
      <c r="M263" s="22">
        <f t="shared" si="291"/>
        <v>0</v>
      </c>
      <c r="N263" s="24">
        <v>5</v>
      </c>
      <c r="O263" s="25">
        <v>1</v>
      </c>
      <c r="P263" s="25">
        <f t="shared" ref="P263:P266" si="384">+IF(J263&gt;0,O263*1,0)</f>
        <v>0</v>
      </c>
      <c r="Q263" s="26"/>
      <c r="R263" s="26"/>
      <c r="S263" s="26"/>
      <c r="T263" s="27"/>
      <c r="U263" s="28">
        <f t="shared" si="292"/>
        <v>0</v>
      </c>
      <c r="V263" s="22"/>
      <c r="W263" s="22"/>
      <c r="X263" s="40"/>
      <c r="Y263" s="22"/>
      <c r="Z263" s="40"/>
      <c r="AA263" s="73"/>
      <c r="AB263" s="73"/>
      <c r="AC263" s="84" t="str">
        <f t="shared" si="320"/>
        <v/>
      </c>
      <c r="AD263" s="85" t="str">
        <f t="shared" si="321"/>
        <v/>
      </c>
      <c r="AE263" s="85" t="str">
        <f t="shared" si="322"/>
        <v/>
      </c>
    </row>
    <row r="264" spans="1:31" ht="14.25" customHeight="1" x14ac:dyDescent="0.2">
      <c r="A264" s="31">
        <f t="shared" ref="A264:B264" si="385">+A263</f>
        <v>44207</v>
      </c>
      <c r="B264" s="32">
        <f t="shared" si="385"/>
        <v>3</v>
      </c>
      <c r="C264" s="62">
        <f t="shared" si="289"/>
        <v>44207</v>
      </c>
      <c r="D264" s="19">
        <v>123</v>
      </c>
      <c r="E264" s="20"/>
      <c r="F264" s="21"/>
      <c r="G264" s="22"/>
      <c r="H264" s="22"/>
      <c r="I264" s="21"/>
      <c r="J264" s="22"/>
      <c r="K264" s="22"/>
      <c r="L264" s="23">
        <f t="shared" si="290"/>
        <v>0</v>
      </c>
      <c r="M264" s="22">
        <f t="shared" si="291"/>
        <v>0</v>
      </c>
      <c r="N264" s="24">
        <v>5</v>
      </c>
      <c r="O264" s="25">
        <v>1</v>
      </c>
      <c r="P264" s="25">
        <f t="shared" si="384"/>
        <v>0</v>
      </c>
      <c r="Q264" s="26"/>
      <c r="R264" s="26"/>
      <c r="S264" s="26"/>
      <c r="T264" s="27"/>
      <c r="U264" s="28">
        <f t="shared" si="292"/>
        <v>0</v>
      </c>
      <c r="V264" s="22"/>
      <c r="W264" s="22"/>
      <c r="X264" s="40"/>
      <c r="Y264" s="22"/>
      <c r="Z264" s="40"/>
      <c r="AA264" s="40"/>
      <c r="AB264" s="40"/>
      <c r="AC264" s="84" t="str">
        <f t="shared" ref="AC264:AC295" si="386">+IF(J264&gt;0,1,"")</f>
        <v/>
      </c>
      <c r="AD264" s="85" t="str">
        <f t="shared" ref="AD264:AD295" si="387">+IF(M264&gt;0,M264,"")</f>
        <v/>
      </c>
      <c r="AE264" s="85" t="str">
        <f t="shared" ref="AE264:AE295" si="388">+IF(M264&lt;0,M264,"")</f>
        <v/>
      </c>
    </row>
    <row r="265" spans="1:31" ht="14.25" customHeight="1" x14ac:dyDescent="0.2">
      <c r="A265" s="31">
        <f t="shared" ref="A265:B265" si="389">+A264</f>
        <v>44207</v>
      </c>
      <c r="B265" s="32">
        <f t="shared" si="389"/>
        <v>3</v>
      </c>
      <c r="C265" s="62">
        <f t="shared" si="289"/>
        <v>44207</v>
      </c>
      <c r="D265" s="19">
        <v>124</v>
      </c>
      <c r="E265" s="20"/>
      <c r="F265" s="21"/>
      <c r="G265" s="22"/>
      <c r="H265" s="22"/>
      <c r="I265" s="21"/>
      <c r="J265" s="22"/>
      <c r="K265" s="22"/>
      <c r="L265" s="23">
        <f t="shared" si="290"/>
        <v>0</v>
      </c>
      <c r="M265" s="22">
        <f t="shared" si="291"/>
        <v>0</v>
      </c>
      <c r="N265" s="24">
        <v>5</v>
      </c>
      <c r="O265" s="25">
        <v>1</v>
      </c>
      <c r="P265" s="25">
        <f t="shared" si="384"/>
        <v>0</v>
      </c>
      <c r="Q265" s="26"/>
      <c r="R265" s="26"/>
      <c r="S265" s="26"/>
      <c r="T265" s="27"/>
      <c r="U265" s="28">
        <f t="shared" si="292"/>
        <v>0</v>
      </c>
      <c r="V265" s="22"/>
      <c r="W265" s="22"/>
      <c r="X265" s="40"/>
      <c r="Y265" s="22"/>
      <c r="Z265" s="40"/>
      <c r="AA265" s="40"/>
      <c r="AB265" s="40"/>
      <c r="AC265" s="84" t="str">
        <f t="shared" si="386"/>
        <v/>
      </c>
      <c r="AD265" s="85" t="str">
        <f t="shared" si="387"/>
        <v/>
      </c>
      <c r="AE265" s="85" t="str">
        <f t="shared" si="388"/>
        <v/>
      </c>
    </row>
    <row r="266" spans="1:31" ht="14.25" customHeight="1" x14ac:dyDescent="0.2">
      <c r="A266" s="33">
        <f t="shared" ref="A266:B266" si="390">+A265</f>
        <v>44207</v>
      </c>
      <c r="B266" s="34">
        <f t="shared" si="390"/>
        <v>3</v>
      </c>
      <c r="C266" s="63">
        <f t="shared" si="289"/>
        <v>44207</v>
      </c>
      <c r="D266" s="19">
        <v>125</v>
      </c>
      <c r="E266" s="20"/>
      <c r="F266" s="21"/>
      <c r="G266" s="22"/>
      <c r="H266" s="22"/>
      <c r="I266" s="21"/>
      <c r="J266" s="22"/>
      <c r="K266" s="22"/>
      <c r="L266" s="23">
        <f t="shared" si="290"/>
        <v>0</v>
      </c>
      <c r="M266" s="22">
        <f t="shared" si="291"/>
        <v>0</v>
      </c>
      <c r="N266" s="24">
        <v>5</v>
      </c>
      <c r="O266" s="25">
        <v>1</v>
      </c>
      <c r="P266" s="25">
        <f t="shared" si="384"/>
        <v>0</v>
      </c>
      <c r="Q266" s="26"/>
      <c r="R266" s="26"/>
      <c r="S266" s="26"/>
      <c r="T266" s="27"/>
      <c r="U266" s="28">
        <f t="shared" si="292"/>
        <v>0</v>
      </c>
      <c r="V266" s="22"/>
      <c r="W266" s="22"/>
      <c r="X266" s="40"/>
      <c r="Y266" s="22"/>
      <c r="Z266" s="40"/>
      <c r="AA266" s="40"/>
      <c r="AB266" s="40"/>
      <c r="AC266" s="84" t="str">
        <f t="shared" si="386"/>
        <v/>
      </c>
      <c r="AD266" s="85" t="str">
        <f t="shared" si="387"/>
        <v/>
      </c>
      <c r="AE266" s="85" t="str">
        <f t="shared" si="388"/>
        <v/>
      </c>
    </row>
    <row r="267" spans="1:31" ht="14.25" customHeight="1" x14ac:dyDescent="0.2">
      <c r="A267" s="17">
        <f t="shared" si="278"/>
        <v>44208</v>
      </c>
      <c r="B267" s="18">
        <f t="shared" si="279"/>
        <v>3</v>
      </c>
      <c r="C267" s="61">
        <f t="shared" si="289"/>
        <v>44208</v>
      </c>
      <c r="D267" s="19">
        <v>126</v>
      </c>
      <c r="E267" s="20"/>
      <c r="F267" s="21"/>
      <c r="G267" s="22"/>
      <c r="H267" s="22"/>
      <c r="I267" s="21"/>
      <c r="J267" s="22"/>
      <c r="K267" s="22"/>
      <c r="L267" s="23">
        <f t="shared" si="290"/>
        <v>0</v>
      </c>
      <c r="M267" s="22">
        <f t="shared" si="291"/>
        <v>0</v>
      </c>
      <c r="N267" s="24">
        <v>5</v>
      </c>
      <c r="O267" s="25">
        <v>1</v>
      </c>
      <c r="P267" s="25">
        <f t="shared" ref="P267" si="391">+IF(J267&gt;0,O267*0.8,0)</f>
        <v>0</v>
      </c>
      <c r="Q267" s="26"/>
      <c r="R267" s="26"/>
      <c r="S267" s="26"/>
      <c r="T267" s="27"/>
      <c r="U267" s="83">
        <f t="shared" si="292"/>
        <v>0</v>
      </c>
      <c r="V267" s="22">
        <f t="shared" si="281"/>
        <v>0</v>
      </c>
      <c r="W267" s="74">
        <f>+Tabla1[[#This Row],[RESULTADO DEL DÍA]]+W262</f>
        <v>2481.2999999999979</v>
      </c>
      <c r="X267" s="22">
        <f>+X262+Tabla1[[#This Row],[Objetivo presupuestado]]</f>
        <v>3150</v>
      </c>
      <c r="Y267" s="22" t="str">
        <f t="shared" ref="Y267" si="392">IF(AF267=0,"0",10)</f>
        <v>0</v>
      </c>
      <c r="Z267" s="22" t="str">
        <f t="shared" ref="Z267" si="393">IF(AF267=0,"0",50)</f>
        <v>0</v>
      </c>
      <c r="AA267" s="27">
        <f t="shared" ref="AA267" si="394">+IFERROR(AF270/(AG270*-1),AF270)</f>
        <v>0</v>
      </c>
      <c r="AB267" s="75" t="str">
        <f t="shared" ref="AB267" si="395">+IFERROR(AF271/AF267,"0")</f>
        <v>0</v>
      </c>
      <c r="AC267" s="84" t="str">
        <f t="shared" si="386"/>
        <v/>
      </c>
      <c r="AD267" s="85" t="str">
        <f t="shared" si="387"/>
        <v/>
      </c>
      <c r="AE267" s="85" t="str">
        <f t="shared" si="388"/>
        <v/>
      </c>
    </row>
    <row r="268" spans="1:31" ht="14.25" customHeight="1" x14ac:dyDescent="0.2">
      <c r="A268" s="31">
        <f t="shared" ref="A268:B268" si="396">+A267</f>
        <v>44208</v>
      </c>
      <c r="B268" s="32">
        <f t="shared" si="396"/>
        <v>3</v>
      </c>
      <c r="C268" s="62">
        <f t="shared" si="289"/>
        <v>44208</v>
      </c>
      <c r="D268" s="19">
        <v>127</v>
      </c>
      <c r="E268" s="20"/>
      <c r="F268" s="21"/>
      <c r="G268" s="22"/>
      <c r="H268" s="22"/>
      <c r="I268" s="21"/>
      <c r="J268" s="22"/>
      <c r="K268" s="22"/>
      <c r="L268" s="23">
        <f t="shared" si="290"/>
        <v>0</v>
      </c>
      <c r="M268" s="22">
        <f t="shared" si="291"/>
        <v>0</v>
      </c>
      <c r="N268" s="24">
        <v>5</v>
      </c>
      <c r="O268" s="25">
        <v>1</v>
      </c>
      <c r="P268" s="25">
        <f t="shared" ref="P268:P271" si="397">+IF(J268&gt;0,O268*1,0)</f>
        <v>0</v>
      </c>
      <c r="Q268" s="26"/>
      <c r="R268" s="26"/>
      <c r="S268" s="26"/>
      <c r="T268" s="27"/>
      <c r="U268" s="28">
        <f t="shared" si="292"/>
        <v>0</v>
      </c>
      <c r="V268" s="22"/>
      <c r="W268" s="22"/>
      <c r="X268" s="40"/>
      <c r="Y268" s="22"/>
      <c r="Z268" s="40"/>
      <c r="AA268" s="73"/>
      <c r="AB268" s="73"/>
      <c r="AC268" s="84" t="str">
        <f t="shared" si="386"/>
        <v/>
      </c>
      <c r="AD268" s="85" t="str">
        <f t="shared" si="387"/>
        <v/>
      </c>
      <c r="AE268" s="85" t="str">
        <f t="shared" si="388"/>
        <v/>
      </c>
    </row>
    <row r="269" spans="1:31" ht="14.25" customHeight="1" x14ac:dyDescent="0.2">
      <c r="A269" s="31">
        <f t="shared" ref="A269:B269" si="398">+A268</f>
        <v>44208</v>
      </c>
      <c r="B269" s="32">
        <f t="shared" si="398"/>
        <v>3</v>
      </c>
      <c r="C269" s="62">
        <f t="shared" si="289"/>
        <v>44208</v>
      </c>
      <c r="D269" s="19">
        <v>128</v>
      </c>
      <c r="E269" s="20"/>
      <c r="F269" s="21"/>
      <c r="G269" s="22"/>
      <c r="H269" s="22"/>
      <c r="I269" s="21"/>
      <c r="J269" s="22"/>
      <c r="K269" s="22"/>
      <c r="L269" s="23">
        <f t="shared" si="290"/>
        <v>0</v>
      </c>
      <c r="M269" s="22">
        <f t="shared" si="291"/>
        <v>0</v>
      </c>
      <c r="N269" s="24">
        <v>5</v>
      </c>
      <c r="O269" s="25">
        <v>1</v>
      </c>
      <c r="P269" s="25">
        <f t="shared" si="397"/>
        <v>0</v>
      </c>
      <c r="Q269" s="26"/>
      <c r="R269" s="26"/>
      <c r="S269" s="26"/>
      <c r="T269" s="27"/>
      <c r="U269" s="28">
        <f t="shared" si="292"/>
        <v>0</v>
      </c>
      <c r="V269" s="22"/>
      <c r="W269" s="22"/>
      <c r="X269" s="40"/>
      <c r="Y269" s="22"/>
      <c r="Z269" s="40"/>
      <c r="AA269" s="40"/>
      <c r="AB269" s="40"/>
      <c r="AC269" s="84" t="str">
        <f t="shared" si="386"/>
        <v/>
      </c>
      <c r="AD269" s="85" t="str">
        <f t="shared" si="387"/>
        <v/>
      </c>
      <c r="AE269" s="85" t="str">
        <f t="shared" si="388"/>
        <v/>
      </c>
    </row>
    <row r="270" spans="1:31" ht="14.25" customHeight="1" x14ac:dyDescent="0.2">
      <c r="A270" s="31">
        <f t="shared" ref="A270:B270" si="399">+A269</f>
        <v>44208</v>
      </c>
      <c r="B270" s="32">
        <f t="shared" si="399"/>
        <v>3</v>
      </c>
      <c r="C270" s="62">
        <f t="shared" si="289"/>
        <v>44208</v>
      </c>
      <c r="D270" s="19">
        <v>129</v>
      </c>
      <c r="E270" s="20"/>
      <c r="F270" s="21"/>
      <c r="G270" s="22"/>
      <c r="H270" s="22"/>
      <c r="I270" s="21"/>
      <c r="J270" s="22"/>
      <c r="K270" s="22"/>
      <c r="L270" s="23">
        <f t="shared" si="290"/>
        <v>0</v>
      </c>
      <c r="M270" s="22">
        <f t="shared" si="291"/>
        <v>0</v>
      </c>
      <c r="N270" s="24">
        <v>5</v>
      </c>
      <c r="O270" s="25">
        <v>1</v>
      </c>
      <c r="P270" s="25">
        <f t="shared" si="397"/>
        <v>0</v>
      </c>
      <c r="Q270" s="26"/>
      <c r="R270" s="26"/>
      <c r="S270" s="26"/>
      <c r="T270" s="27"/>
      <c r="U270" s="28">
        <f t="shared" si="292"/>
        <v>0</v>
      </c>
      <c r="V270" s="22"/>
      <c r="W270" s="22"/>
      <c r="X270" s="40"/>
      <c r="Y270" s="22"/>
      <c r="Z270" s="40"/>
      <c r="AA270" s="40"/>
      <c r="AB270" s="40"/>
      <c r="AC270" s="84" t="str">
        <f t="shared" si="386"/>
        <v/>
      </c>
      <c r="AD270" s="85" t="str">
        <f t="shared" si="387"/>
        <v/>
      </c>
      <c r="AE270" s="85" t="str">
        <f t="shared" si="388"/>
        <v/>
      </c>
    </row>
    <row r="271" spans="1:31" ht="14.25" customHeight="1" x14ac:dyDescent="0.2">
      <c r="A271" s="33">
        <f t="shared" ref="A271:B271" si="400">+A270</f>
        <v>44208</v>
      </c>
      <c r="B271" s="34">
        <f t="shared" si="400"/>
        <v>3</v>
      </c>
      <c r="C271" s="63">
        <f t="shared" si="289"/>
        <v>44208</v>
      </c>
      <c r="D271" s="19">
        <v>130</v>
      </c>
      <c r="E271" s="20"/>
      <c r="F271" s="21"/>
      <c r="G271" s="22"/>
      <c r="H271" s="22"/>
      <c r="I271" s="21"/>
      <c r="J271" s="22"/>
      <c r="K271" s="22"/>
      <c r="L271" s="23">
        <f t="shared" si="290"/>
        <v>0</v>
      </c>
      <c r="M271" s="22">
        <f t="shared" si="291"/>
        <v>0</v>
      </c>
      <c r="N271" s="24">
        <v>5</v>
      </c>
      <c r="O271" s="25">
        <v>1</v>
      </c>
      <c r="P271" s="25">
        <f t="shared" si="397"/>
        <v>0</v>
      </c>
      <c r="Q271" s="26"/>
      <c r="R271" s="26"/>
      <c r="S271" s="26"/>
      <c r="T271" s="27"/>
      <c r="U271" s="28">
        <f t="shared" si="292"/>
        <v>0</v>
      </c>
      <c r="V271" s="22"/>
      <c r="W271" s="22"/>
      <c r="X271" s="40"/>
      <c r="Y271" s="22"/>
      <c r="Z271" s="40"/>
      <c r="AA271" s="40"/>
      <c r="AB271" s="40"/>
      <c r="AC271" s="84" t="str">
        <f t="shared" si="386"/>
        <v/>
      </c>
      <c r="AD271" s="85" t="str">
        <f t="shared" si="387"/>
        <v/>
      </c>
      <c r="AE271" s="85" t="str">
        <f t="shared" si="388"/>
        <v/>
      </c>
    </row>
    <row r="272" spans="1:31" ht="14.25" customHeight="1" x14ac:dyDescent="0.2">
      <c r="A272" s="17">
        <f t="shared" si="278"/>
        <v>44209</v>
      </c>
      <c r="B272" s="18">
        <f t="shared" si="279"/>
        <v>3</v>
      </c>
      <c r="C272" s="61">
        <f t="shared" si="289"/>
        <v>44209</v>
      </c>
      <c r="D272" s="19">
        <v>131</v>
      </c>
      <c r="E272" s="20"/>
      <c r="F272" s="21"/>
      <c r="G272" s="22"/>
      <c r="H272" s="22"/>
      <c r="I272" s="21"/>
      <c r="J272" s="22"/>
      <c r="K272" s="22"/>
      <c r="L272" s="23">
        <f t="shared" si="290"/>
        <v>0</v>
      </c>
      <c r="M272" s="22">
        <f t="shared" si="291"/>
        <v>0</v>
      </c>
      <c r="N272" s="24">
        <v>5</v>
      </c>
      <c r="O272" s="25">
        <v>1</v>
      </c>
      <c r="P272" s="25">
        <f t="shared" ref="P272" si="401">+IF(J272&gt;0,O272*0.8,0)</f>
        <v>0</v>
      </c>
      <c r="Q272" s="26"/>
      <c r="R272" s="26"/>
      <c r="S272" s="26"/>
      <c r="T272" s="27"/>
      <c r="U272" s="83">
        <f t="shared" si="292"/>
        <v>0</v>
      </c>
      <c r="V272" s="22">
        <f t="shared" si="281"/>
        <v>0</v>
      </c>
      <c r="W272" s="74">
        <f>+Tabla1[[#This Row],[RESULTADO DEL DÍA]]+W267</f>
        <v>2481.2999999999979</v>
      </c>
      <c r="X272" s="22">
        <f>+X267+Tabla1[[#This Row],[Objetivo presupuestado]]</f>
        <v>3150</v>
      </c>
      <c r="Y272" s="22" t="str">
        <f t="shared" ref="Y272" si="402">IF(AF272=0,"0",10)</f>
        <v>0</v>
      </c>
      <c r="Z272" s="22" t="str">
        <f t="shared" ref="Z272" si="403">IF(AF272=0,"0",50)</f>
        <v>0</v>
      </c>
      <c r="AA272" s="27">
        <f t="shared" ref="AA272" si="404">+IFERROR(AF275/(AG275*-1),AF275)</f>
        <v>0</v>
      </c>
      <c r="AB272" s="75" t="str">
        <f t="shared" ref="AB272" si="405">+IFERROR(AF276/AF272,"0")</f>
        <v>0</v>
      </c>
      <c r="AC272" s="84" t="str">
        <f t="shared" si="386"/>
        <v/>
      </c>
      <c r="AD272" s="85" t="str">
        <f t="shared" si="387"/>
        <v/>
      </c>
      <c r="AE272" s="85" t="str">
        <f t="shared" si="388"/>
        <v/>
      </c>
    </row>
    <row r="273" spans="1:31" ht="14.25" customHeight="1" x14ac:dyDescent="0.2">
      <c r="A273" s="31">
        <f t="shared" ref="A273:B273" si="406">+A272</f>
        <v>44209</v>
      </c>
      <c r="B273" s="32">
        <f t="shared" si="406"/>
        <v>3</v>
      </c>
      <c r="C273" s="62">
        <f t="shared" si="289"/>
        <v>44209</v>
      </c>
      <c r="D273" s="19">
        <v>132</v>
      </c>
      <c r="E273" s="20"/>
      <c r="F273" s="21"/>
      <c r="G273" s="22"/>
      <c r="H273" s="22"/>
      <c r="I273" s="21"/>
      <c r="J273" s="22"/>
      <c r="K273" s="22"/>
      <c r="L273" s="23">
        <f t="shared" si="290"/>
        <v>0</v>
      </c>
      <c r="M273" s="22">
        <f t="shared" si="291"/>
        <v>0</v>
      </c>
      <c r="N273" s="24">
        <v>5</v>
      </c>
      <c r="O273" s="25">
        <v>1</v>
      </c>
      <c r="P273" s="25">
        <f t="shared" ref="P273:P276" si="407">+IF(J273&gt;0,O273*1,0)</f>
        <v>0</v>
      </c>
      <c r="Q273" s="26"/>
      <c r="R273" s="26"/>
      <c r="S273" s="26"/>
      <c r="T273" s="27"/>
      <c r="U273" s="28">
        <f t="shared" si="292"/>
        <v>0</v>
      </c>
      <c r="V273" s="22"/>
      <c r="W273" s="22"/>
      <c r="X273" s="40"/>
      <c r="Y273" s="22"/>
      <c r="Z273" s="40"/>
      <c r="AA273" s="73"/>
      <c r="AB273" s="73"/>
      <c r="AC273" s="84" t="str">
        <f t="shared" si="386"/>
        <v/>
      </c>
      <c r="AD273" s="85" t="str">
        <f t="shared" si="387"/>
        <v/>
      </c>
      <c r="AE273" s="85" t="str">
        <f t="shared" si="388"/>
        <v/>
      </c>
    </row>
    <row r="274" spans="1:31" ht="14.25" customHeight="1" x14ac:dyDescent="0.2">
      <c r="A274" s="31">
        <f t="shared" ref="A274:B274" si="408">+A273</f>
        <v>44209</v>
      </c>
      <c r="B274" s="32">
        <f t="shared" si="408"/>
        <v>3</v>
      </c>
      <c r="C274" s="62">
        <f t="shared" si="289"/>
        <v>44209</v>
      </c>
      <c r="D274" s="19">
        <v>133</v>
      </c>
      <c r="E274" s="20"/>
      <c r="F274" s="21"/>
      <c r="G274" s="22"/>
      <c r="H274" s="22"/>
      <c r="I274" s="21"/>
      <c r="J274" s="22"/>
      <c r="K274" s="22"/>
      <c r="L274" s="23">
        <f t="shared" si="290"/>
        <v>0</v>
      </c>
      <c r="M274" s="22">
        <f t="shared" si="291"/>
        <v>0</v>
      </c>
      <c r="N274" s="24">
        <v>5</v>
      </c>
      <c r="O274" s="25">
        <v>1</v>
      </c>
      <c r="P274" s="25">
        <f t="shared" si="407"/>
        <v>0</v>
      </c>
      <c r="Q274" s="26"/>
      <c r="R274" s="26"/>
      <c r="S274" s="26"/>
      <c r="T274" s="27"/>
      <c r="U274" s="28">
        <f t="shared" si="292"/>
        <v>0</v>
      </c>
      <c r="V274" s="22"/>
      <c r="W274" s="22"/>
      <c r="X274" s="40"/>
      <c r="Y274" s="22"/>
      <c r="Z274" s="40"/>
      <c r="AA274" s="40"/>
      <c r="AB274" s="40"/>
      <c r="AC274" s="84" t="str">
        <f t="shared" si="386"/>
        <v/>
      </c>
      <c r="AD274" s="85" t="str">
        <f t="shared" si="387"/>
        <v/>
      </c>
      <c r="AE274" s="85" t="str">
        <f t="shared" si="388"/>
        <v/>
      </c>
    </row>
    <row r="275" spans="1:31" ht="14.25" customHeight="1" x14ac:dyDescent="0.2">
      <c r="A275" s="31">
        <f t="shared" ref="A275:B275" si="409">+A274</f>
        <v>44209</v>
      </c>
      <c r="B275" s="32">
        <f t="shared" si="409"/>
        <v>3</v>
      </c>
      <c r="C275" s="62">
        <f t="shared" si="289"/>
        <v>44209</v>
      </c>
      <c r="D275" s="19">
        <v>134</v>
      </c>
      <c r="E275" s="20"/>
      <c r="F275" s="21"/>
      <c r="G275" s="22"/>
      <c r="H275" s="22"/>
      <c r="I275" s="21"/>
      <c r="J275" s="22"/>
      <c r="K275" s="22"/>
      <c r="L275" s="23">
        <f t="shared" si="290"/>
        <v>0</v>
      </c>
      <c r="M275" s="22">
        <f t="shared" si="291"/>
        <v>0</v>
      </c>
      <c r="N275" s="24">
        <v>5</v>
      </c>
      <c r="O275" s="25">
        <v>1</v>
      </c>
      <c r="P275" s="25">
        <f t="shared" si="407"/>
        <v>0</v>
      </c>
      <c r="Q275" s="26"/>
      <c r="R275" s="26"/>
      <c r="S275" s="26"/>
      <c r="T275" s="27"/>
      <c r="U275" s="28">
        <f t="shared" si="292"/>
        <v>0</v>
      </c>
      <c r="V275" s="22"/>
      <c r="W275" s="22"/>
      <c r="X275" s="40"/>
      <c r="Y275" s="22"/>
      <c r="Z275" s="40"/>
      <c r="AA275" s="40"/>
      <c r="AB275" s="40"/>
      <c r="AC275" s="84" t="str">
        <f t="shared" si="386"/>
        <v/>
      </c>
      <c r="AD275" s="85" t="str">
        <f t="shared" si="387"/>
        <v/>
      </c>
      <c r="AE275" s="85" t="str">
        <f t="shared" si="388"/>
        <v/>
      </c>
    </row>
    <row r="276" spans="1:31" ht="14.25" customHeight="1" x14ac:dyDescent="0.2">
      <c r="A276" s="33">
        <f t="shared" ref="A276:B276" si="410">+A275</f>
        <v>44209</v>
      </c>
      <c r="B276" s="34">
        <f t="shared" si="410"/>
        <v>3</v>
      </c>
      <c r="C276" s="63">
        <f t="shared" si="289"/>
        <v>44209</v>
      </c>
      <c r="D276" s="19">
        <v>135</v>
      </c>
      <c r="E276" s="20"/>
      <c r="F276" s="21"/>
      <c r="G276" s="22"/>
      <c r="H276" s="22"/>
      <c r="I276" s="21"/>
      <c r="J276" s="22"/>
      <c r="K276" s="22"/>
      <c r="L276" s="23">
        <f t="shared" si="290"/>
        <v>0</v>
      </c>
      <c r="M276" s="22">
        <f t="shared" si="291"/>
        <v>0</v>
      </c>
      <c r="N276" s="24">
        <v>5</v>
      </c>
      <c r="O276" s="25">
        <v>1</v>
      </c>
      <c r="P276" s="25">
        <f t="shared" si="407"/>
        <v>0</v>
      </c>
      <c r="Q276" s="26"/>
      <c r="R276" s="26"/>
      <c r="S276" s="26"/>
      <c r="T276" s="27"/>
      <c r="U276" s="28">
        <f t="shared" si="292"/>
        <v>0</v>
      </c>
      <c r="V276" s="22"/>
      <c r="W276" s="22"/>
      <c r="X276" s="40"/>
      <c r="Y276" s="22"/>
      <c r="Z276" s="40"/>
      <c r="AA276" s="40"/>
      <c r="AB276" s="40"/>
      <c r="AC276" s="84" t="str">
        <f t="shared" si="386"/>
        <v/>
      </c>
      <c r="AD276" s="85" t="str">
        <f t="shared" si="387"/>
        <v/>
      </c>
      <c r="AE276" s="85" t="str">
        <f t="shared" si="388"/>
        <v/>
      </c>
    </row>
    <row r="277" spans="1:31" ht="14.25" customHeight="1" x14ac:dyDescent="0.2">
      <c r="A277" s="17">
        <f t="shared" si="278"/>
        <v>44210</v>
      </c>
      <c r="B277" s="18">
        <f t="shared" si="279"/>
        <v>3</v>
      </c>
      <c r="C277" s="61">
        <f t="shared" si="289"/>
        <v>44210</v>
      </c>
      <c r="D277" s="19">
        <v>136</v>
      </c>
      <c r="E277" s="20"/>
      <c r="F277" s="21"/>
      <c r="G277" s="22"/>
      <c r="H277" s="22"/>
      <c r="I277" s="21"/>
      <c r="J277" s="22"/>
      <c r="K277" s="22"/>
      <c r="L277" s="23">
        <f t="shared" si="290"/>
        <v>0</v>
      </c>
      <c r="M277" s="22">
        <f t="shared" si="291"/>
        <v>0</v>
      </c>
      <c r="N277" s="24">
        <v>5</v>
      </c>
      <c r="O277" s="25">
        <v>1</v>
      </c>
      <c r="P277" s="25">
        <f t="shared" ref="P277" si="411">+IF(J277&gt;0,O277*0.8,0)</f>
        <v>0</v>
      </c>
      <c r="Q277" s="26"/>
      <c r="R277" s="26"/>
      <c r="S277" s="26"/>
      <c r="T277" s="27"/>
      <c r="U277" s="83">
        <f t="shared" si="292"/>
        <v>0</v>
      </c>
      <c r="V277" s="22">
        <f t="shared" si="281"/>
        <v>0</v>
      </c>
      <c r="W277" s="74">
        <f>+Tabla1[[#This Row],[RESULTADO DEL DÍA]]+W272</f>
        <v>2481.2999999999979</v>
      </c>
      <c r="X277" s="22">
        <f>+X272+Tabla1[[#This Row],[Objetivo presupuestado]]</f>
        <v>3150</v>
      </c>
      <c r="Y277" s="22" t="str">
        <f t="shared" ref="Y277" si="412">IF(AF277=0,"0",10)</f>
        <v>0</v>
      </c>
      <c r="Z277" s="22" t="str">
        <f t="shared" ref="Z277" si="413">IF(AF277=0,"0",50)</f>
        <v>0</v>
      </c>
      <c r="AA277" s="27">
        <f t="shared" ref="AA277" si="414">+IFERROR(AF280/(AG280*-1),AF280)</f>
        <v>0</v>
      </c>
      <c r="AB277" s="75" t="str">
        <f t="shared" ref="AB277" si="415">+IFERROR(AF281/AF277,"0")</f>
        <v>0</v>
      </c>
      <c r="AC277" s="84" t="str">
        <f t="shared" si="386"/>
        <v/>
      </c>
      <c r="AD277" s="85" t="str">
        <f t="shared" si="387"/>
        <v/>
      </c>
      <c r="AE277" s="85" t="str">
        <f t="shared" si="388"/>
        <v/>
      </c>
    </row>
    <row r="278" spans="1:31" ht="14.25" customHeight="1" x14ac:dyDescent="0.2">
      <c r="A278" s="31">
        <f t="shared" ref="A278:B278" si="416">+A277</f>
        <v>44210</v>
      </c>
      <c r="B278" s="32">
        <f t="shared" si="416"/>
        <v>3</v>
      </c>
      <c r="C278" s="62">
        <f t="shared" si="289"/>
        <v>44210</v>
      </c>
      <c r="D278" s="19">
        <v>137</v>
      </c>
      <c r="E278" s="20"/>
      <c r="F278" s="21"/>
      <c r="G278" s="22"/>
      <c r="H278" s="22"/>
      <c r="I278" s="21"/>
      <c r="J278" s="22"/>
      <c r="K278" s="22"/>
      <c r="L278" s="23">
        <f t="shared" si="290"/>
        <v>0</v>
      </c>
      <c r="M278" s="22">
        <f t="shared" si="291"/>
        <v>0</v>
      </c>
      <c r="N278" s="24">
        <v>5</v>
      </c>
      <c r="O278" s="25">
        <v>1</v>
      </c>
      <c r="P278" s="25">
        <f t="shared" ref="P278:P281" si="417">+IF(J278&gt;0,O278*1,0)</f>
        <v>0</v>
      </c>
      <c r="Q278" s="26"/>
      <c r="R278" s="26"/>
      <c r="S278" s="26"/>
      <c r="T278" s="27"/>
      <c r="U278" s="28">
        <f t="shared" si="292"/>
        <v>0</v>
      </c>
      <c r="V278" s="22"/>
      <c r="W278" s="22"/>
      <c r="X278" s="40"/>
      <c r="Y278" s="22"/>
      <c r="Z278" s="40"/>
      <c r="AA278" s="73"/>
      <c r="AB278" s="73"/>
      <c r="AC278" s="84" t="str">
        <f t="shared" si="386"/>
        <v/>
      </c>
      <c r="AD278" s="85" t="str">
        <f t="shared" si="387"/>
        <v/>
      </c>
      <c r="AE278" s="85" t="str">
        <f t="shared" si="388"/>
        <v/>
      </c>
    </row>
    <row r="279" spans="1:31" ht="14.25" customHeight="1" x14ac:dyDescent="0.2">
      <c r="A279" s="31">
        <f t="shared" ref="A279:B279" si="418">+A278</f>
        <v>44210</v>
      </c>
      <c r="B279" s="32">
        <f t="shared" si="418"/>
        <v>3</v>
      </c>
      <c r="C279" s="62">
        <f t="shared" si="289"/>
        <v>44210</v>
      </c>
      <c r="D279" s="19">
        <v>138</v>
      </c>
      <c r="E279" s="20"/>
      <c r="F279" s="21"/>
      <c r="G279" s="22"/>
      <c r="H279" s="22"/>
      <c r="I279" s="21"/>
      <c r="J279" s="22"/>
      <c r="K279" s="22"/>
      <c r="L279" s="23">
        <f t="shared" si="290"/>
        <v>0</v>
      </c>
      <c r="M279" s="22">
        <f t="shared" si="291"/>
        <v>0</v>
      </c>
      <c r="N279" s="24">
        <v>5</v>
      </c>
      <c r="O279" s="25">
        <v>1</v>
      </c>
      <c r="P279" s="25">
        <f t="shared" si="417"/>
        <v>0</v>
      </c>
      <c r="Q279" s="26"/>
      <c r="R279" s="26"/>
      <c r="S279" s="26"/>
      <c r="T279" s="27"/>
      <c r="U279" s="28">
        <f t="shared" si="292"/>
        <v>0</v>
      </c>
      <c r="V279" s="22"/>
      <c r="W279" s="22"/>
      <c r="X279" s="40"/>
      <c r="Y279" s="22"/>
      <c r="Z279" s="40"/>
      <c r="AA279" s="40"/>
      <c r="AB279" s="40"/>
      <c r="AC279" s="84" t="str">
        <f t="shared" si="386"/>
        <v/>
      </c>
      <c r="AD279" s="85" t="str">
        <f t="shared" si="387"/>
        <v/>
      </c>
      <c r="AE279" s="85" t="str">
        <f t="shared" si="388"/>
        <v/>
      </c>
    </row>
    <row r="280" spans="1:31" ht="14.25" customHeight="1" x14ac:dyDescent="0.2">
      <c r="A280" s="31">
        <f t="shared" ref="A280:B280" si="419">+A279</f>
        <v>44210</v>
      </c>
      <c r="B280" s="32">
        <f t="shared" si="419"/>
        <v>3</v>
      </c>
      <c r="C280" s="62">
        <f t="shared" si="289"/>
        <v>44210</v>
      </c>
      <c r="D280" s="19">
        <v>139</v>
      </c>
      <c r="E280" s="20"/>
      <c r="F280" s="21"/>
      <c r="G280" s="22"/>
      <c r="H280" s="22"/>
      <c r="I280" s="21"/>
      <c r="J280" s="22"/>
      <c r="K280" s="22"/>
      <c r="L280" s="23">
        <f t="shared" si="290"/>
        <v>0</v>
      </c>
      <c r="M280" s="22">
        <f t="shared" si="291"/>
        <v>0</v>
      </c>
      <c r="N280" s="24">
        <v>5</v>
      </c>
      <c r="O280" s="25">
        <v>1</v>
      </c>
      <c r="P280" s="25">
        <f t="shared" si="417"/>
        <v>0</v>
      </c>
      <c r="Q280" s="26"/>
      <c r="R280" s="26"/>
      <c r="S280" s="26"/>
      <c r="T280" s="27"/>
      <c r="U280" s="28">
        <f t="shared" si="292"/>
        <v>0</v>
      </c>
      <c r="V280" s="22"/>
      <c r="W280" s="22"/>
      <c r="X280" s="40"/>
      <c r="Y280" s="22"/>
      <c r="Z280" s="40"/>
      <c r="AA280" s="40"/>
      <c r="AB280" s="40"/>
      <c r="AC280" s="84" t="str">
        <f t="shared" si="386"/>
        <v/>
      </c>
      <c r="AD280" s="85" t="str">
        <f t="shared" si="387"/>
        <v/>
      </c>
      <c r="AE280" s="85" t="str">
        <f t="shared" si="388"/>
        <v/>
      </c>
    </row>
    <row r="281" spans="1:31" ht="14.25" customHeight="1" x14ac:dyDescent="0.2">
      <c r="A281" s="33">
        <f t="shared" ref="A281:B281" si="420">+A280</f>
        <v>44210</v>
      </c>
      <c r="B281" s="34">
        <f t="shared" si="420"/>
        <v>3</v>
      </c>
      <c r="C281" s="63">
        <f t="shared" si="289"/>
        <v>44210</v>
      </c>
      <c r="D281" s="19">
        <v>140</v>
      </c>
      <c r="E281" s="20"/>
      <c r="F281" s="21"/>
      <c r="G281" s="22"/>
      <c r="H281" s="22"/>
      <c r="I281" s="21"/>
      <c r="J281" s="22"/>
      <c r="K281" s="22"/>
      <c r="L281" s="23">
        <f t="shared" si="290"/>
        <v>0</v>
      </c>
      <c r="M281" s="22">
        <f t="shared" si="291"/>
        <v>0</v>
      </c>
      <c r="N281" s="24">
        <v>5</v>
      </c>
      <c r="O281" s="25">
        <v>1</v>
      </c>
      <c r="P281" s="25">
        <f t="shared" si="417"/>
        <v>0</v>
      </c>
      <c r="Q281" s="26"/>
      <c r="R281" s="26"/>
      <c r="S281" s="26"/>
      <c r="T281" s="27"/>
      <c r="U281" s="28">
        <f t="shared" si="292"/>
        <v>0</v>
      </c>
      <c r="V281" s="22"/>
      <c r="W281" s="22"/>
      <c r="X281" s="40"/>
      <c r="Y281" s="22"/>
      <c r="Z281" s="40"/>
      <c r="AA281" s="40"/>
      <c r="AB281" s="40"/>
      <c r="AC281" s="84" t="str">
        <f t="shared" si="386"/>
        <v/>
      </c>
      <c r="AD281" s="85" t="str">
        <f t="shared" si="387"/>
        <v/>
      </c>
      <c r="AE281" s="85" t="str">
        <f t="shared" si="388"/>
        <v/>
      </c>
    </row>
    <row r="282" spans="1:31" ht="14.25" customHeight="1" x14ac:dyDescent="0.2">
      <c r="A282" s="17">
        <f t="shared" ref="A282:A342" si="421">+A277+1</f>
        <v>44211</v>
      </c>
      <c r="B282" s="18">
        <f t="shared" ref="B282:B342" si="422">WEEKNUM(A282,2)</f>
        <v>3</v>
      </c>
      <c r="C282" s="61">
        <f t="shared" si="289"/>
        <v>44211</v>
      </c>
      <c r="D282" s="19">
        <v>141</v>
      </c>
      <c r="E282" s="20"/>
      <c r="F282" s="21"/>
      <c r="G282" s="22"/>
      <c r="H282" s="22"/>
      <c r="I282" s="21"/>
      <c r="J282" s="22"/>
      <c r="K282" s="22"/>
      <c r="L282" s="23">
        <f t="shared" si="290"/>
        <v>0</v>
      </c>
      <c r="M282" s="22">
        <f t="shared" si="291"/>
        <v>0</v>
      </c>
      <c r="N282" s="24">
        <v>5</v>
      </c>
      <c r="O282" s="25">
        <v>1</v>
      </c>
      <c r="P282" s="25">
        <f t="shared" ref="P282" si="423">+IF(J282&gt;0,O282*0.8,0)</f>
        <v>0</v>
      </c>
      <c r="Q282" s="26"/>
      <c r="R282" s="26"/>
      <c r="S282" s="26"/>
      <c r="T282" s="27"/>
      <c r="U282" s="83">
        <f t="shared" si="292"/>
        <v>0</v>
      </c>
      <c r="V282" s="22">
        <f t="shared" ref="V282:V342" si="424">SUM(U282:U286)</f>
        <v>0</v>
      </c>
      <c r="W282" s="74">
        <f>+Tabla1[[#This Row],[RESULTADO DEL DÍA]]+W277</f>
        <v>2481.2999999999979</v>
      </c>
      <c r="X282" s="22">
        <f>+X277+Tabla1[[#This Row],[Objetivo presupuestado]]</f>
        <v>3150</v>
      </c>
      <c r="Y282" s="22" t="str">
        <f t="shared" ref="Y282" si="425">IF(AF282=0,"0",10)</f>
        <v>0</v>
      </c>
      <c r="Z282" s="22" t="str">
        <f t="shared" ref="Z282" si="426">IF(AF282=0,"0",50)</f>
        <v>0</v>
      </c>
      <c r="AA282" s="27">
        <f t="shared" ref="AA282" si="427">+IFERROR(AF285/(AG285*-1),AF285)</f>
        <v>0</v>
      </c>
      <c r="AB282" s="75" t="str">
        <f t="shared" ref="AB282" si="428">+IFERROR(AF286/AF282,"0")</f>
        <v>0</v>
      </c>
      <c r="AC282" s="84" t="str">
        <f t="shared" si="386"/>
        <v/>
      </c>
      <c r="AD282" s="85" t="str">
        <f t="shared" si="387"/>
        <v/>
      </c>
      <c r="AE282" s="85" t="str">
        <f t="shared" si="388"/>
        <v/>
      </c>
    </row>
    <row r="283" spans="1:31" ht="14.25" customHeight="1" x14ac:dyDescent="0.2">
      <c r="A283" s="31">
        <f t="shared" ref="A283:B283" si="429">+A282</f>
        <v>44211</v>
      </c>
      <c r="B283" s="32">
        <f t="shared" si="429"/>
        <v>3</v>
      </c>
      <c r="C283" s="62">
        <f t="shared" ref="C283:C336" si="430">+A283</f>
        <v>44211</v>
      </c>
      <c r="D283" s="19">
        <v>142</v>
      </c>
      <c r="E283" s="20"/>
      <c r="F283" s="21"/>
      <c r="G283" s="22"/>
      <c r="H283" s="22"/>
      <c r="I283" s="21"/>
      <c r="J283" s="22"/>
      <c r="K283" s="22"/>
      <c r="L283" s="23">
        <f t="shared" ref="L283:L336" si="431">+I283-F283</f>
        <v>0</v>
      </c>
      <c r="M283" s="22">
        <f t="shared" ref="M283:M336" si="432">+IF(E283="buy",J283-G283,G283-J283)</f>
        <v>0</v>
      </c>
      <c r="N283" s="24">
        <v>5</v>
      </c>
      <c r="O283" s="25">
        <v>1</v>
      </c>
      <c r="P283" s="25">
        <f t="shared" ref="P283:P286" si="433">+IF(J283&gt;0,O283*1,0)</f>
        <v>0</v>
      </c>
      <c r="Q283" s="26"/>
      <c r="R283" s="26"/>
      <c r="S283" s="26"/>
      <c r="T283" s="27"/>
      <c r="U283" s="28">
        <f t="shared" ref="U283:U336" si="434">+O283*N283*M283-P283</f>
        <v>0</v>
      </c>
      <c r="V283" s="22"/>
      <c r="W283" s="22"/>
      <c r="X283" s="40"/>
      <c r="Y283" s="22"/>
      <c r="Z283" s="40"/>
      <c r="AA283" s="73"/>
      <c r="AB283" s="73"/>
      <c r="AC283" s="84" t="str">
        <f t="shared" si="386"/>
        <v/>
      </c>
      <c r="AD283" s="85" t="str">
        <f t="shared" si="387"/>
        <v/>
      </c>
      <c r="AE283" s="85" t="str">
        <f t="shared" si="388"/>
        <v/>
      </c>
    </row>
    <row r="284" spans="1:31" ht="14.25" customHeight="1" x14ac:dyDescent="0.2">
      <c r="A284" s="31">
        <f t="shared" ref="A284:B284" si="435">+A283</f>
        <v>44211</v>
      </c>
      <c r="B284" s="32">
        <f t="shared" si="435"/>
        <v>3</v>
      </c>
      <c r="C284" s="62">
        <f t="shared" si="430"/>
        <v>44211</v>
      </c>
      <c r="D284" s="19">
        <v>143</v>
      </c>
      <c r="E284" s="20"/>
      <c r="F284" s="21"/>
      <c r="G284" s="22"/>
      <c r="H284" s="22"/>
      <c r="I284" s="21"/>
      <c r="J284" s="22"/>
      <c r="K284" s="22"/>
      <c r="L284" s="23">
        <f t="shared" si="431"/>
        <v>0</v>
      </c>
      <c r="M284" s="22">
        <f t="shared" si="432"/>
        <v>0</v>
      </c>
      <c r="N284" s="24">
        <v>5</v>
      </c>
      <c r="O284" s="25">
        <v>1</v>
      </c>
      <c r="P284" s="25">
        <f t="shared" si="433"/>
        <v>0</v>
      </c>
      <c r="Q284" s="26"/>
      <c r="R284" s="26"/>
      <c r="S284" s="26"/>
      <c r="T284" s="27"/>
      <c r="U284" s="28">
        <f t="shared" si="434"/>
        <v>0</v>
      </c>
      <c r="V284" s="22"/>
      <c r="W284" s="22"/>
      <c r="X284" s="40"/>
      <c r="Y284" s="22"/>
      <c r="Z284" s="40"/>
      <c r="AA284" s="40"/>
      <c r="AB284" s="40"/>
      <c r="AC284" s="84" t="str">
        <f t="shared" si="386"/>
        <v/>
      </c>
      <c r="AD284" s="85" t="str">
        <f t="shared" si="387"/>
        <v/>
      </c>
      <c r="AE284" s="85" t="str">
        <f t="shared" si="388"/>
        <v/>
      </c>
    </row>
    <row r="285" spans="1:31" ht="14.25" customHeight="1" x14ac:dyDescent="0.2">
      <c r="A285" s="31">
        <f t="shared" ref="A285:B285" si="436">+A284</f>
        <v>44211</v>
      </c>
      <c r="B285" s="32">
        <f t="shared" si="436"/>
        <v>3</v>
      </c>
      <c r="C285" s="62">
        <f t="shared" si="430"/>
        <v>44211</v>
      </c>
      <c r="D285" s="19">
        <v>144</v>
      </c>
      <c r="E285" s="20"/>
      <c r="F285" s="21"/>
      <c r="G285" s="22"/>
      <c r="H285" s="22"/>
      <c r="I285" s="21"/>
      <c r="J285" s="22"/>
      <c r="K285" s="22"/>
      <c r="L285" s="23">
        <f t="shared" si="431"/>
        <v>0</v>
      </c>
      <c r="M285" s="22">
        <f t="shared" si="432"/>
        <v>0</v>
      </c>
      <c r="N285" s="24">
        <v>5</v>
      </c>
      <c r="O285" s="25">
        <v>1</v>
      </c>
      <c r="P285" s="25">
        <f t="shared" si="433"/>
        <v>0</v>
      </c>
      <c r="Q285" s="26"/>
      <c r="R285" s="26"/>
      <c r="S285" s="26"/>
      <c r="T285" s="27"/>
      <c r="U285" s="28">
        <f t="shared" si="434"/>
        <v>0</v>
      </c>
      <c r="V285" s="22"/>
      <c r="W285" s="22"/>
      <c r="X285" s="40"/>
      <c r="Y285" s="22"/>
      <c r="Z285" s="40"/>
      <c r="AA285" s="40"/>
      <c r="AB285" s="40"/>
      <c r="AC285" s="84" t="str">
        <f t="shared" si="386"/>
        <v/>
      </c>
      <c r="AD285" s="85" t="str">
        <f t="shared" si="387"/>
        <v/>
      </c>
      <c r="AE285" s="85" t="str">
        <f t="shared" si="388"/>
        <v/>
      </c>
    </row>
    <row r="286" spans="1:31" ht="14.25" customHeight="1" x14ac:dyDescent="0.2">
      <c r="A286" s="33">
        <f t="shared" ref="A286:B286" si="437">+A285</f>
        <v>44211</v>
      </c>
      <c r="B286" s="34">
        <f t="shared" si="437"/>
        <v>3</v>
      </c>
      <c r="C286" s="63">
        <f t="shared" si="430"/>
        <v>44211</v>
      </c>
      <c r="D286" s="19">
        <v>145</v>
      </c>
      <c r="E286" s="20"/>
      <c r="F286" s="21"/>
      <c r="G286" s="22"/>
      <c r="H286" s="22"/>
      <c r="I286" s="21"/>
      <c r="J286" s="22"/>
      <c r="K286" s="22"/>
      <c r="L286" s="23">
        <f t="shared" si="431"/>
        <v>0</v>
      </c>
      <c r="M286" s="22">
        <f t="shared" si="432"/>
        <v>0</v>
      </c>
      <c r="N286" s="24">
        <v>5</v>
      </c>
      <c r="O286" s="25">
        <v>1</v>
      </c>
      <c r="P286" s="25">
        <f t="shared" si="433"/>
        <v>0</v>
      </c>
      <c r="Q286" s="26"/>
      <c r="R286" s="26"/>
      <c r="S286" s="26"/>
      <c r="T286" s="27"/>
      <c r="U286" s="28">
        <f t="shared" si="434"/>
        <v>0</v>
      </c>
      <c r="V286" s="22"/>
      <c r="W286" s="22"/>
      <c r="X286" s="40"/>
      <c r="Y286" s="22"/>
      <c r="Z286" s="40"/>
      <c r="AA286" s="40"/>
      <c r="AB286" s="40"/>
      <c r="AC286" s="84" t="str">
        <f t="shared" si="386"/>
        <v/>
      </c>
      <c r="AD286" s="85" t="str">
        <f t="shared" si="387"/>
        <v/>
      </c>
      <c r="AE286" s="85" t="str">
        <f t="shared" si="388"/>
        <v/>
      </c>
    </row>
    <row r="287" spans="1:31" ht="14.25" customHeight="1" x14ac:dyDescent="0.2">
      <c r="A287" s="17">
        <f t="shared" si="421"/>
        <v>44212</v>
      </c>
      <c r="B287" s="18">
        <f t="shared" si="422"/>
        <v>3</v>
      </c>
      <c r="C287" s="61">
        <f t="shared" si="430"/>
        <v>44212</v>
      </c>
      <c r="D287" s="19">
        <v>146</v>
      </c>
      <c r="E287" s="20"/>
      <c r="F287" s="21"/>
      <c r="G287" s="22"/>
      <c r="H287" s="22"/>
      <c r="I287" s="21"/>
      <c r="J287" s="22"/>
      <c r="K287" s="22"/>
      <c r="L287" s="23">
        <f t="shared" si="431"/>
        <v>0</v>
      </c>
      <c r="M287" s="22">
        <f t="shared" si="432"/>
        <v>0</v>
      </c>
      <c r="N287" s="24">
        <v>5</v>
      </c>
      <c r="O287" s="25">
        <v>1</v>
      </c>
      <c r="P287" s="25">
        <f t="shared" ref="P287" si="438">+IF(J287&gt;0,O287*0.8,0)</f>
        <v>0</v>
      </c>
      <c r="Q287" s="26"/>
      <c r="R287" s="26"/>
      <c r="S287" s="26"/>
      <c r="T287" s="27"/>
      <c r="U287" s="83">
        <f t="shared" si="434"/>
        <v>0</v>
      </c>
      <c r="V287" s="22">
        <f t="shared" si="424"/>
        <v>0</v>
      </c>
      <c r="W287" s="74">
        <f>+Tabla1[[#This Row],[RESULTADO DEL DÍA]]+W282</f>
        <v>2481.2999999999979</v>
      </c>
      <c r="X287" s="22">
        <f>+X282+Tabla1[[#This Row],[Objetivo presupuestado]]</f>
        <v>3150</v>
      </c>
      <c r="Y287" s="22" t="str">
        <f t="shared" ref="Y287" si="439">IF(AF287=0,"0",10)</f>
        <v>0</v>
      </c>
      <c r="Z287" s="22" t="str">
        <f t="shared" ref="Z287" si="440">IF(AF287=0,"0",50)</f>
        <v>0</v>
      </c>
      <c r="AA287" s="27">
        <f t="shared" ref="AA287" si="441">+IFERROR(AF290/(AG290*-1),AF290)</f>
        <v>0</v>
      </c>
      <c r="AB287" s="75" t="str">
        <f t="shared" ref="AB287" si="442">+IFERROR(AF291/AF287,"0")</f>
        <v>0</v>
      </c>
      <c r="AC287" s="84" t="str">
        <f t="shared" si="386"/>
        <v/>
      </c>
      <c r="AD287" s="85" t="str">
        <f t="shared" si="387"/>
        <v/>
      </c>
      <c r="AE287" s="85" t="str">
        <f t="shared" si="388"/>
        <v/>
      </c>
    </row>
    <row r="288" spans="1:31" ht="14.25" customHeight="1" x14ac:dyDescent="0.2">
      <c r="A288" s="31">
        <f t="shared" ref="A288:B288" si="443">+A287</f>
        <v>44212</v>
      </c>
      <c r="B288" s="32">
        <f t="shared" si="443"/>
        <v>3</v>
      </c>
      <c r="C288" s="62">
        <f t="shared" si="430"/>
        <v>44212</v>
      </c>
      <c r="D288" s="19">
        <v>147</v>
      </c>
      <c r="E288" s="20"/>
      <c r="F288" s="21"/>
      <c r="G288" s="22"/>
      <c r="H288" s="22"/>
      <c r="I288" s="21"/>
      <c r="J288" s="22"/>
      <c r="K288" s="22"/>
      <c r="L288" s="23">
        <f t="shared" si="431"/>
        <v>0</v>
      </c>
      <c r="M288" s="22">
        <f t="shared" si="432"/>
        <v>0</v>
      </c>
      <c r="N288" s="24">
        <v>5</v>
      </c>
      <c r="O288" s="25">
        <v>1</v>
      </c>
      <c r="P288" s="25">
        <f t="shared" ref="P288:P291" si="444">+IF(J288&gt;0,O288*1,0)</f>
        <v>0</v>
      </c>
      <c r="Q288" s="26"/>
      <c r="R288" s="26"/>
      <c r="S288" s="26"/>
      <c r="T288" s="27"/>
      <c r="U288" s="28">
        <f t="shared" si="434"/>
        <v>0</v>
      </c>
      <c r="V288" s="22"/>
      <c r="W288" s="22"/>
      <c r="X288" s="40"/>
      <c r="Y288" s="22"/>
      <c r="Z288" s="40"/>
      <c r="AA288" s="73"/>
      <c r="AB288" s="73"/>
      <c r="AC288" s="84" t="str">
        <f t="shared" si="386"/>
        <v/>
      </c>
      <c r="AD288" s="85" t="str">
        <f t="shared" si="387"/>
        <v/>
      </c>
      <c r="AE288" s="85" t="str">
        <f t="shared" si="388"/>
        <v/>
      </c>
    </row>
    <row r="289" spans="1:31" ht="14.25" customHeight="1" x14ac:dyDescent="0.2">
      <c r="A289" s="31">
        <f t="shared" ref="A289:B289" si="445">+A288</f>
        <v>44212</v>
      </c>
      <c r="B289" s="32">
        <f t="shared" si="445"/>
        <v>3</v>
      </c>
      <c r="C289" s="62">
        <f t="shared" si="430"/>
        <v>44212</v>
      </c>
      <c r="D289" s="19">
        <v>148</v>
      </c>
      <c r="E289" s="20"/>
      <c r="F289" s="21"/>
      <c r="G289" s="22"/>
      <c r="H289" s="22"/>
      <c r="I289" s="21"/>
      <c r="J289" s="22"/>
      <c r="K289" s="22"/>
      <c r="L289" s="23">
        <f t="shared" si="431"/>
        <v>0</v>
      </c>
      <c r="M289" s="22">
        <f t="shared" si="432"/>
        <v>0</v>
      </c>
      <c r="N289" s="24">
        <v>5</v>
      </c>
      <c r="O289" s="25">
        <v>1</v>
      </c>
      <c r="P289" s="25">
        <f t="shared" si="444"/>
        <v>0</v>
      </c>
      <c r="Q289" s="26"/>
      <c r="R289" s="26"/>
      <c r="S289" s="26"/>
      <c r="T289" s="27"/>
      <c r="U289" s="28">
        <f t="shared" si="434"/>
        <v>0</v>
      </c>
      <c r="V289" s="22"/>
      <c r="W289" s="22"/>
      <c r="X289" s="40"/>
      <c r="Y289" s="22"/>
      <c r="Z289" s="40"/>
      <c r="AA289" s="40"/>
      <c r="AB289" s="40"/>
      <c r="AC289" s="84" t="str">
        <f t="shared" si="386"/>
        <v/>
      </c>
      <c r="AD289" s="85" t="str">
        <f t="shared" si="387"/>
        <v/>
      </c>
      <c r="AE289" s="85" t="str">
        <f t="shared" si="388"/>
        <v/>
      </c>
    </row>
    <row r="290" spans="1:31" ht="14.25" customHeight="1" x14ac:dyDescent="0.2">
      <c r="A290" s="31">
        <f t="shared" ref="A290:B290" si="446">+A289</f>
        <v>44212</v>
      </c>
      <c r="B290" s="32">
        <f t="shared" si="446"/>
        <v>3</v>
      </c>
      <c r="C290" s="62">
        <f t="shared" si="430"/>
        <v>44212</v>
      </c>
      <c r="D290" s="19">
        <v>149</v>
      </c>
      <c r="E290" s="20"/>
      <c r="F290" s="21"/>
      <c r="G290" s="22"/>
      <c r="H290" s="22"/>
      <c r="I290" s="21"/>
      <c r="J290" s="22"/>
      <c r="K290" s="22"/>
      <c r="L290" s="23">
        <f t="shared" si="431"/>
        <v>0</v>
      </c>
      <c r="M290" s="22">
        <f t="shared" si="432"/>
        <v>0</v>
      </c>
      <c r="N290" s="24">
        <v>5</v>
      </c>
      <c r="O290" s="25">
        <v>1</v>
      </c>
      <c r="P290" s="25">
        <f t="shared" si="444"/>
        <v>0</v>
      </c>
      <c r="Q290" s="26"/>
      <c r="R290" s="26"/>
      <c r="S290" s="26"/>
      <c r="T290" s="27"/>
      <c r="U290" s="28">
        <f t="shared" si="434"/>
        <v>0</v>
      </c>
      <c r="V290" s="22"/>
      <c r="W290" s="22"/>
      <c r="X290" s="40"/>
      <c r="Y290" s="22"/>
      <c r="Z290" s="40"/>
      <c r="AA290" s="40"/>
      <c r="AB290" s="40"/>
      <c r="AC290" s="84" t="str">
        <f t="shared" si="386"/>
        <v/>
      </c>
      <c r="AD290" s="85" t="str">
        <f t="shared" si="387"/>
        <v/>
      </c>
      <c r="AE290" s="85" t="str">
        <f t="shared" si="388"/>
        <v/>
      </c>
    </row>
    <row r="291" spans="1:31" ht="14.25" customHeight="1" x14ac:dyDescent="0.2">
      <c r="A291" s="33">
        <f t="shared" ref="A291:B291" si="447">+A290</f>
        <v>44212</v>
      </c>
      <c r="B291" s="34">
        <f t="shared" si="447"/>
        <v>3</v>
      </c>
      <c r="C291" s="63">
        <f t="shared" si="430"/>
        <v>44212</v>
      </c>
      <c r="D291" s="19">
        <v>150</v>
      </c>
      <c r="E291" s="20"/>
      <c r="F291" s="21"/>
      <c r="G291" s="22"/>
      <c r="H291" s="22"/>
      <c r="I291" s="21"/>
      <c r="J291" s="22"/>
      <c r="K291" s="22"/>
      <c r="L291" s="23">
        <f t="shared" si="431"/>
        <v>0</v>
      </c>
      <c r="M291" s="22">
        <f t="shared" si="432"/>
        <v>0</v>
      </c>
      <c r="N291" s="24">
        <v>5</v>
      </c>
      <c r="O291" s="25">
        <v>1</v>
      </c>
      <c r="P291" s="25">
        <f t="shared" si="444"/>
        <v>0</v>
      </c>
      <c r="Q291" s="26"/>
      <c r="R291" s="26"/>
      <c r="S291" s="26"/>
      <c r="T291" s="27"/>
      <c r="U291" s="28">
        <f t="shared" si="434"/>
        <v>0</v>
      </c>
      <c r="V291" s="22"/>
      <c r="W291" s="22"/>
      <c r="X291" s="40"/>
      <c r="Y291" s="22"/>
      <c r="Z291" s="40"/>
      <c r="AA291" s="40"/>
      <c r="AB291" s="40"/>
      <c r="AC291" s="84" t="str">
        <f t="shared" si="386"/>
        <v/>
      </c>
      <c r="AD291" s="85" t="str">
        <f t="shared" si="387"/>
        <v/>
      </c>
      <c r="AE291" s="85" t="str">
        <f t="shared" si="388"/>
        <v/>
      </c>
    </row>
    <row r="292" spans="1:31" ht="14.25" customHeight="1" x14ac:dyDescent="0.2">
      <c r="A292" s="17">
        <f t="shared" si="421"/>
        <v>44213</v>
      </c>
      <c r="B292" s="18">
        <f t="shared" si="422"/>
        <v>3</v>
      </c>
      <c r="C292" s="61">
        <f t="shared" si="430"/>
        <v>44213</v>
      </c>
      <c r="D292" s="19">
        <v>151</v>
      </c>
      <c r="E292" s="20" t="s">
        <v>25</v>
      </c>
      <c r="F292" s="21">
        <v>44184.841122685197</v>
      </c>
      <c r="G292" s="22">
        <v>2014.7</v>
      </c>
      <c r="H292" s="22"/>
      <c r="I292" s="21">
        <v>44184.855416666702</v>
      </c>
      <c r="J292" s="22">
        <v>2018.2</v>
      </c>
      <c r="K292" s="22"/>
      <c r="L292" s="23">
        <f t="shared" si="431"/>
        <v>1.4293981505034026E-2</v>
      </c>
      <c r="M292" s="22">
        <f t="shared" si="432"/>
        <v>3.5</v>
      </c>
      <c r="N292" s="24">
        <v>5</v>
      </c>
      <c r="O292" s="25">
        <v>1</v>
      </c>
      <c r="P292" s="25">
        <f t="shared" ref="P292" si="448">+IF(J292&gt;0,O292*0.8,0)</f>
        <v>0.8</v>
      </c>
      <c r="Q292" s="26"/>
      <c r="R292" s="26"/>
      <c r="S292" s="26"/>
      <c r="T292" s="27"/>
      <c r="U292" s="83">
        <f t="shared" si="434"/>
        <v>16.7</v>
      </c>
      <c r="V292" s="22">
        <f t="shared" si="424"/>
        <v>16.7</v>
      </c>
      <c r="W292" s="74">
        <f>+Tabla1[[#This Row],[RESULTADO DEL DÍA]]+W287</f>
        <v>2497.9999999999977</v>
      </c>
      <c r="X292" s="22">
        <f>+X287+Tabla1[[#This Row],[Objetivo presupuestado]]</f>
        <v>3150</v>
      </c>
      <c r="Y292" s="22" t="str">
        <f t="shared" ref="Y292" si="449">IF(AF292=0,"0",10)</f>
        <v>0</v>
      </c>
      <c r="Z292" s="22" t="str">
        <f t="shared" ref="Z292" si="450">IF(AF292=0,"0",50)</f>
        <v>0</v>
      </c>
      <c r="AA292" s="27">
        <f t="shared" ref="AA292" si="451">+IFERROR(AF295/(AG295*-1),AF295)</f>
        <v>0</v>
      </c>
      <c r="AB292" s="75" t="str">
        <f t="shared" ref="AB292" si="452">+IFERROR(AF296/AF292,"0")</f>
        <v>0</v>
      </c>
      <c r="AC292" s="84">
        <f t="shared" si="386"/>
        <v>1</v>
      </c>
      <c r="AD292" s="85">
        <f t="shared" si="387"/>
        <v>3.5</v>
      </c>
      <c r="AE292" s="85" t="str">
        <f t="shared" si="388"/>
        <v/>
      </c>
    </row>
    <row r="293" spans="1:31" ht="14.25" customHeight="1" x14ac:dyDescent="0.2">
      <c r="A293" s="31">
        <f t="shared" ref="A293:B293" si="453">+A292</f>
        <v>44213</v>
      </c>
      <c r="B293" s="32">
        <f t="shared" si="453"/>
        <v>3</v>
      </c>
      <c r="C293" s="62">
        <f t="shared" si="430"/>
        <v>44213</v>
      </c>
      <c r="D293" s="19">
        <v>152</v>
      </c>
      <c r="E293" s="20"/>
      <c r="F293" s="21"/>
      <c r="G293" s="22"/>
      <c r="H293" s="22"/>
      <c r="I293" s="21"/>
      <c r="J293" s="22"/>
      <c r="K293" s="22"/>
      <c r="L293" s="23">
        <f t="shared" si="431"/>
        <v>0</v>
      </c>
      <c r="M293" s="22">
        <f t="shared" si="432"/>
        <v>0</v>
      </c>
      <c r="N293" s="24">
        <v>5</v>
      </c>
      <c r="O293" s="25">
        <v>1</v>
      </c>
      <c r="P293" s="25">
        <f t="shared" ref="P293:P296" si="454">+IF(J293&gt;0,O293*1,0)</f>
        <v>0</v>
      </c>
      <c r="Q293" s="26"/>
      <c r="R293" s="26"/>
      <c r="S293" s="26"/>
      <c r="T293" s="27"/>
      <c r="U293" s="28">
        <f t="shared" si="434"/>
        <v>0</v>
      </c>
      <c r="V293" s="22"/>
      <c r="W293" s="22"/>
      <c r="X293" s="40"/>
      <c r="Y293" s="22"/>
      <c r="Z293" s="40"/>
      <c r="AA293" s="73"/>
      <c r="AB293" s="73"/>
      <c r="AC293" s="84" t="str">
        <f t="shared" si="386"/>
        <v/>
      </c>
      <c r="AD293" s="85" t="str">
        <f t="shared" si="387"/>
        <v/>
      </c>
      <c r="AE293" s="85" t="str">
        <f t="shared" si="388"/>
        <v/>
      </c>
    </row>
    <row r="294" spans="1:31" ht="14.25" customHeight="1" x14ac:dyDescent="0.2">
      <c r="A294" s="31">
        <f t="shared" ref="A294:B294" si="455">+A293</f>
        <v>44213</v>
      </c>
      <c r="B294" s="32">
        <f t="shared" si="455"/>
        <v>3</v>
      </c>
      <c r="C294" s="62">
        <f t="shared" si="430"/>
        <v>44213</v>
      </c>
      <c r="D294" s="19">
        <v>153</v>
      </c>
      <c r="E294" s="20"/>
      <c r="F294" s="21"/>
      <c r="G294" s="22"/>
      <c r="H294" s="22"/>
      <c r="I294" s="21"/>
      <c r="J294" s="22"/>
      <c r="K294" s="22"/>
      <c r="L294" s="23">
        <f t="shared" si="431"/>
        <v>0</v>
      </c>
      <c r="M294" s="22">
        <f t="shared" si="432"/>
        <v>0</v>
      </c>
      <c r="N294" s="24">
        <v>5</v>
      </c>
      <c r="O294" s="25">
        <v>1</v>
      </c>
      <c r="P294" s="25">
        <f t="shared" si="454"/>
        <v>0</v>
      </c>
      <c r="Q294" s="26"/>
      <c r="R294" s="26"/>
      <c r="S294" s="26"/>
      <c r="T294" s="27"/>
      <c r="U294" s="28">
        <f t="shared" si="434"/>
        <v>0</v>
      </c>
      <c r="V294" s="22"/>
      <c r="W294" s="22"/>
      <c r="X294" s="40"/>
      <c r="Y294" s="22"/>
      <c r="Z294" s="40"/>
      <c r="AA294" s="40"/>
      <c r="AB294" s="40"/>
      <c r="AC294" s="84" t="str">
        <f t="shared" si="386"/>
        <v/>
      </c>
      <c r="AD294" s="85" t="str">
        <f t="shared" si="387"/>
        <v/>
      </c>
      <c r="AE294" s="85" t="str">
        <f t="shared" si="388"/>
        <v/>
      </c>
    </row>
    <row r="295" spans="1:31" ht="14.25" customHeight="1" x14ac:dyDescent="0.2">
      <c r="A295" s="31">
        <f t="shared" ref="A295:B295" si="456">+A294</f>
        <v>44213</v>
      </c>
      <c r="B295" s="32">
        <f t="shared" si="456"/>
        <v>3</v>
      </c>
      <c r="C295" s="62">
        <f t="shared" si="430"/>
        <v>44213</v>
      </c>
      <c r="D295" s="19">
        <v>154</v>
      </c>
      <c r="E295" s="20"/>
      <c r="F295" s="21"/>
      <c r="G295" s="22"/>
      <c r="H295" s="22"/>
      <c r="I295" s="21"/>
      <c r="J295" s="22"/>
      <c r="K295" s="22"/>
      <c r="L295" s="23">
        <f t="shared" si="431"/>
        <v>0</v>
      </c>
      <c r="M295" s="22">
        <f t="shared" si="432"/>
        <v>0</v>
      </c>
      <c r="N295" s="24">
        <v>5</v>
      </c>
      <c r="O295" s="25">
        <v>1</v>
      </c>
      <c r="P295" s="25">
        <f t="shared" si="454"/>
        <v>0</v>
      </c>
      <c r="Q295" s="26"/>
      <c r="R295" s="26"/>
      <c r="S295" s="26"/>
      <c r="T295" s="27"/>
      <c r="U295" s="28">
        <f t="shared" si="434"/>
        <v>0</v>
      </c>
      <c r="V295" s="22"/>
      <c r="W295" s="22"/>
      <c r="X295" s="40"/>
      <c r="Y295" s="22"/>
      <c r="Z295" s="40"/>
      <c r="AA295" s="40"/>
      <c r="AB295" s="40"/>
      <c r="AC295" s="84" t="str">
        <f t="shared" si="386"/>
        <v/>
      </c>
      <c r="AD295" s="85" t="str">
        <f t="shared" si="387"/>
        <v/>
      </c>
      <c r="AE295" s="85" t="str">
        <f t="shared" si="388"/>
        <v/>
      </c>
    </row>
    <row r="296" spans="1:31" ht="14.25" customHeight="1" x14ac:dyDescent="0.2">
      <c r="A296" s="33">
        <f t="shared" ref="A296:B296" si="457">+A295</f>
        <v>44213</v>
      </c>
      <c r="B296" s="34">
        <f t="shared" si="457"/>
        <v>3</v>
      </c>
      <c r="C296" s="63">
        <f t="shared" si="430"/>
        <v>44213</v>
      </c>
      <c r="D296" s="19">
        <v>155</v>
      </c>
      <c r="E296" s="20"/>
      <c r="F296" s="21"/>
      <c r="G296" s="22"/>
      <c r="H296" s="22"/>
      <c r="I296" s="21"/>
      <c r="J296" s="22"/>
      <c r="K296" s="22"/>
      <c r="L296" s="23">
        <f t="shared" si="431"/>
        <v>0</v>
      </c>
      <c r="M296" s="22">
        <f t="shared" si="432"/>
        <v>0</v>
      </c>
      <c r="N296" s="24">
        <v>5</v>
      </c>
      <c r="O296" s="25">
        <v>1</v>
      </c>
      <c r="P296" s="25">
        <f t="shared" si="454"/>
        <v>0</v>
      </c>
      <c r="Q296" s="26"/>
      <c r="R296" s="26"/>
      <c r="S296" s="26"/>
      <c r="T296" s="27"/>
      <c r="U296" s="28">
        <f t="shared" si="434"/>
        <v>0</v>
      </c>
      <c r="V296" s="22"/>
      <c r="W296" s="22"/>
      <c r="X296" s="40"/>
      <c r="Y296" s="22"/>
      <c r="Z296" s="40"/>
      <c r="AA296" s="40"/>
      <c r="AB296" s="40"/>
      <c r="AC296" s="84" t="str">
        <f t="shared" ref="AC296:AC327" si="458">+IF(J296&gt;0,1,"")</f>
        <v/>
      </c>
      <c r="AD296" s="85" t="str">
        <f t="shared" ref="AD296:AD327" si="459">+IF(M296&gt;0,M296,"")</f>
        <v/>
      </c>
      <c r="AE296" s="85" t="str">
        <f t="shared" ref="AE296:AE327" si="460">+IF(M296&lt;0,M296,"")</f>
        <v/>
      </c>
    </row>
    <row r="297" spans="1:31" ht="14.25" customHeight="1" x14ac:dyDescent="0.2">
      <c r="A297" s="17">
        <f t="shared" si="421"/>
        <v>44214</v>
      </c>
      <c r="B297" s="18">
        <f t="shared" si="422"/>
        <v>4</v>
      </c>
      <c r="C297" s="61">
        <f t="shared" si="430"/>
        <v>44214</v>
      </c>
      <c r="D297" s="19">
        <v>156</v>
      </c>
      <c r="E297" s="20" t="s">
        <v>25</v>
      </c>
      <c r="F297" s="21">
        <v>44184.882789351803</v>
      </c>
      <c r="G297" s="22">
        <v>2015.7</v>
      </c>
      <c r="H297" s="22"/>
      <c r="I297" s="21">
        <v>44184.897083333301</v>
      </c>
      <c r="J297" s="22">
        <v>2019.2</v>
      </c>
      <c r="K297" s="22"/>
      <c r="L297" s="23">
        <f t="shared" si="431"/>
        <v>1.4293981497758068E-2</v>
      </c>
      <c r="M297" s="22">
        <f t="shared" si="432"/>
        <v>3.5</v>
      </c>
      <c r="N297" s="24">
        <v>5</v>
      </c>
      <c r="O297" s="25">
        <v>1</v>
      </c>
      <c r="P297" s="25">
        <f t="shared" ref="P297" si="461">+IF(J297&gt;0,O297*0.8,0)</f>
        <v>0.8</v>
      </c>
      <c r="Q297" s="26"/>
      <c r="R297" s="26"/>
      <c r="S297" s="26"/>
      <c r="T297" s="27"/>
      <c r="U297" s="83">
        <f t="shared" si="434"/>
        <v>16.7</v>
      </c>
      <c r="V297" s="22">
        <f t="shared" si="424"/>
        <v>16.7</v>
      </c>
      <c r="W297" s="74">
        <f>+Tabla1[[#This Row],[RESULTADO DEL DÍA]]+W292</f>
        <v>2514.6999999999975</v>
      </c>
      <c r="X297" s="22">
        <f>+X292+Tabla1[[#This Row],[Objetivo presupuestado]]</f>
        <v>3150</v>
      </c>
      <c r="Y297" s="22" t="str">
        <f t="shared" ref="Y297" si="462">IF(AF297=0,"0",10)</f>
        <v>0</v>
      </c>
      <c r="Z297" s="22" t="str">
        <f t="shared" ref="Z297" si="463">IF(AF297=0,"0",50)</f>
        <v>0</v>
      </c>
      <c r="AA297" s="27">
        <f t="shared" ref="AA297" si="464">+IFERROR(AF300/(AG300*-1),AF300)</f>
        <v>0</v>
      </c>
      <c r="AB297" s="75" t="str">
        <f t="shared" ref="AB297" si="465">+IFERROR(AF301/AF297,"0")</f>
        <v>0</v>
      </c>
      <c r="AC297" s="84">
        <f t="shared" si="458"/>
        <v>1</v>
      </c>
      <c r="AD297" s="85">
        <f t="shared" si="459"/>
        <v>3.5</v>
      </c>
      <c r="AE297" s="85" t="str">
        <f t="shared" si="460"/>
        <v/>
      </c>
    </row>
    <row r="298" spans="1:31" ht="14.25" customHeight="1" x14ac:dyDescent="0.2">
      <c r="A298" s="31">
        <f t="shared" ref="A298:B298" si="466">+A297</f>
        <v>44214</v>
      </c>
      <c r="B298" s="32">
        <f t="shared" si="466"/>
        <v>4</v>
      </c>
      <c r="C298" s="62">
        <f t="shared" si="430"/>
        <v>44214</v>
      </c>
      <c r="D298" s="19">
        <v>157</v>
      </c>
      <c r="E298" s="20"/>
      <c r="F298" s="21"/>
      <c r="G298" s="22"/>
      <c r="H298" s="22"/>
      <c r="I298" s="21"/>
      <c r="J298" s="22"/>
      <c r="K298" s="22"/>
      <c r="L298" s="23">
        <f t="shared" si="431"/>
        <v>0</v>
      </c>
      <c r="M298" s="22">
        <f t="shared" si="432"/>
        <v>0</v>
      </c>
      <c r="N298" s="24">
        <v>5</v>
      </c>
      <c r="O298" s="25">
        <v>1</v>
      </c>
      <c r="P298" s="25">
        <f t="shared" ref="P298:P301" si="467">+IF(J298&gt;0,O298*1,0)</f>
        <v>0</v>
      </c>
      <c r="Q298" s="26"/>
      <c r="R298" s="26"/>
      <c r="S298" s="26"/>
      <c r="T298" s="27"/>
      <c r="U298" s="28">
        <f t="shared" si="434"/>
        <v>0</v>
      </c>
      <c r="V298" s="22"/>
      <c r="W298" s="22"/>
      <c r="X298" s="40"/>
      <c r="Y298" s="22"/>
      <c r="Z298" s="40"/>
      <c r="AA298" s="73"/>
      <c r="AB298" s="73"/>
      <c r="AC298" s="84" t="str">
        <f t="shared" si="458"/>
        <v/>
      </c>
      <c r="AD298" s="85" t="str">
        <f t="shared" si="459"/>
        <v/>
      </c>
      <c r="AE298" s="85" t="str">
        <f t="shared" si="460"/>
        <v/>
      </c>
    </row>
    <row r="299" spans="1:31" ht="14.25" customHeight="1" x14ac:dyDescent="0.2">
      <c r="A299" s="31">
        <f t="shared" ref="A299:B299" si="468">+A298</f>
        <v>44214</v>
      </c>
      <c r="B299" s="32">
        <f t="shared" si="468"/>
        <v>4</v>
      </c>
      <c r="C299" s="62">
        <f t="shared" si="430"/>
        <v>44214</v>
      </c>
      <c r="D299" s="19">
        <v>158</v>
      </c>
      <c r="E299" s="20"/>
      <c r="F299" s="21"/>
      <c r="G299" s="22"/>
      <c r="H299" s="22"/>
      <c r="I299" s="21"/>
      <c r="J299" s="22"/>
      <c r="K299" s="22"/>
      <c r="L299" s="23">
        <f t="shared" si="431"/>
        <v>0</v>
      </c>
      <c r="M299" s="22">
        <f t="shared" si="432"/>
        <v>0</v>
      </c>
      <c r="N299" s="24">
        <v>5</v>
      </c>
      <c r="O299" s="25">
        <v>1</v>
      </c>
      <c r="P299" s="25">
        <f t="shared" si="467"/>
        <v>0</v>
      </c>
      <c r="Q299" s="26"/>
      <c r="R299" s="26"/>
      <c r="S299" s="26"/>
      <c r="T299" s="27"/>
      <c r="U299" s="28">
        <f t="shared" si="434"/>
        <v>0</v>
      </c>
      <c r="V299" s="22"/>
      <c r="W299" s="22"/>
      <c r="X299" s="40"/>
      <c r="Y299" s="22"/>
      <c r="Z299" s="40"/>
      <c r="AA299" s="40"/>
      <c r="AB299" s="40"/>
      <c r="AC299" s="84" t="str">
        <f t="shared" si="458"/>
        <v/>
      </c>
      <c r="AD299" s="85" t="str">
        <f t="shared" si="459"/>
        <v/>
      </c>
      <c r="AE299" s="85" t="str">
        <f t="shared" si="460"/>
        <v/>
      </c>
    </row>
    <row r="300" spans="1:31" ht="14.25" customHeight="1" x14ac:dyDescent="0.2">
      <c r="A300" s="31">
        <f t="shared" ref="A300:B300" si="469">+A299</f>
        <v>44214</v>
      </c>
      <c r="B300" s="32">
        <f t="shared" si="469"/>
        <v>4</v>
      </c>
      <c r="C300" s="62">
        <f t="shared" si="430"/>
        <v>44214</v>
      </c>
      <c r="D300" s="19">
        <v>159</v>
      </c>
      <c r="E300" s="20"/>
      <c r="F300" s="21"/>
      <c r="G300" s="22"/>
      <c r="H300" s="22"/>
      <c r="I300" s="21"/>
      <c r="J300" s="22"/>
      <c r="K300" s="22"/>
      <c r="L300" s="23">
        <f t="shared" si="431"/>
        <v>0</v>
      </c>
      <c r="M300" s="22">
        <f t="shared" si="432"/>
        <v>0</v>
      </c>
      <c r="N300" s="24">
        <v>5</v>
      </c>
      <c r="O300" s="25">
        <v>1</v>
      </c>
      <c r="P300" s="25">
        <f t="shared" si="467"/>
        <v>0</v>
      </c>
      <c r="Q300" s="26"/>
      <c r="R300" s="26"/>
      <c r="S300" s="26"/>
      <c r="T300" s="27"/>
      <c r="U300" s="28">
        <f t="shared" si="434"/>
        <v>0</v>
      </c>
      <c r="V300" s="22"/>
      <c r="W300" s="22"/>
      <c r="X300" s="40"/>
      <c r="Y300" s="22"/>
      <c r="Z300" s="40"/>
      <c r="AA300" s="40"/>
      <c r="AB300" s="40"/>
      <c r="AC300" s="84" t="str">
        <f t="shared" si="458"/>
        <v/>
      </c>
      <c r="AD300" s="85" t="str">
        <f t="shared" si="459"/>
        <v/>
      </c>
      <c r="AE300" s="85" t="str">
        <f t="shared" si="460"/>
        <v/>
      </c>
    </row>
    <row r="301" spans="1:31" ht="14.25" customHeight="1" x14ac:dyDescent="0.2">
      <c r="A301" s="33">
        <f t="shared" ref="A301:B301" si="470">+A300</f>
        <v>44214</v>
      </c>
      <c r="B301" s="34">
        <f t="shared" si="470"/>
        <v>4</v>
      </c>
      <c r="C301" s="63">
        <f t="shared" si="430"/>
        <v>44214</v>
      </c>
      <c r="D301" s="19">
        <v>160</v>
      </c>
      <c r="E301" s="20"/>
      <c r="F301" s="21"/>
      <c r="G301" s="22"/>
      <c r="H301" s="22"/>
      <c r="I301" s="21"/>
      <c r="J301" s="22"/>
      <c r="K301" s="22"/>
      <c r="L301" s="23">
        <f t="shared" si="431"/>
        <v>0</v>
      </c>
      <c r="M301" s="22">
        <f t="shared" si="432"/>
        <v>0</v>
      </c>
      <c r="N301" s="24">
        <v>5</v>
      </c>
      <c r="O301" s="25">
        <v>1</v>
      </c>
      <c r="P301" s="25">
        <f t="shared" si="467"/>
        <v>0</v>
      </c>
      <c r="Q301" s="26"/>
      <c r="R301" s="26"/>
      <c r="S301" s="26"/>
      <c r="T301" s="27"/>
      <c r="U301" s="28">
        <f t="shared" si="434"/>
        <v>0</v>
      </c>
      <c r="V301" s="22"/>
      <c r="W301" s="22"/>
      <c r="X301" s="40"/>
      <c r="Y301" s="22"/>
      <c r="Z301" s="40"/>
      <c r="AA301" s="40"/>
      <c r="AB301" s="40"/>
      <c r="AC301" s="84" t="str">
        <f t="shared" si="458"/>
        <v/>
      </c>
      <c r="AD301" s="85" t="str">
        <f t="shared" si="459"/>
        <v/>
      </c>
      <c r="AE301" s="85" t="str">
        <f t="shared" si="460"/>
        <v/>
      </c>
    </row>
    <row r="302" spans="1:31" ht="14.25" customHeight="1" x14ac:dyDescent="0.2">
      <c r="A302" s="17">
        <f t="shared" si="421"/>
        <v>44215</v>
      </c>
      <c r="B302" s="18">
        <f t="shared" si="422"/>
        <v>4</v>
      </c>
      <c r="C302" s="61">
        <f t="shared" si="430"/>
        <v>44215</v>
      </c>
      <c r="D302" s="19">
        <v>161</v>
      </c>
      <c r="E302" s="20" t="s">
        <v>25</v>
      </c>
      <c r="F302" s="21">
        <v>44184.924456018503</v>
      </c>
      <c r="G302" s="22">
        <v>2016.7</v>
      </c>
      <c r="H302" s="22"/>
      <c r="I302" s="21">
        <v>44184.938750000001</v>
      </c>
      <c r="J302" s="22">
        <v>2020.2</v>
      </c>
      <c r="K302" s="22"/>
      <c r="L302" s="23">
        <f t="shared" si="431"/>
        <v>1.4293981497758068E-2</v>
      </c>
      <c r="M302" s="22">
        <f t="shared" si="432"/>
        <v>3.5</v>
      </c>
      <c r="N302" s="24">
        <v>5</v>
      </c>
      <c r="O302" s="25">
        <v>1</v>
      </c>
      <c r="P302" s="25">
        <f t="shared" ref="P302" si="471">+IF(J302&gt;0,O302*0.8,0)</f>
        <v>0.8</v>
      </c>
      <c r="Q302" s="26"/>
      <c r="R302" s="26"/>
      <c r="S302" s="26"/>
      <c r="T302" s="27"/>
      <c r="U302" s="83">
        <f t="shared" si="434"/>
        <v>16.7</v>
      </c>
      <c r="V302" s="22">
        <f t="shared" si="424"/>
        <v>16.7</v>
      </c>
      <c r="W302" s="74">
        <f>+Tabla1[[#This Row],[RESULTADO DEL DÍA]]+W297</f>
        <v>2531.3999999999974</v>
      </c>
      <c r="X302" s="22">
        <f>+X297+Tabla1[[#This Row],[Objetivo presupuestado]]</f>
        <v>3150</v>
      </c>
      <c r="Y302" s="22" t="str">
        <f t="shared" ref="Y302" si="472">IF(AF302=0,"0",10)</f>
        <v>0</v>
      </c>
      <c r="Z302" s="22" t="str">
        <f t="shared" ref="Z302" si="473">IF(AF302=0,"0",50)</f>
        <v>0</v>
      </c>
      <c r="AA302" s="27">
        <f t="shared" ref="AA302" si="474">+IFERROR(AF305/(AG305*-1),AF305)</f>
        <v>0</v>
      </c>
      <c r="AB302" s="75" t="str">
        <f t="shared" ref="AB302" si="475">+IFERROR(AF306/AF302,"0")</f>
        <v>0</v>
      </c>
      <c r="AC302" s="84">
        <f t="shared" si="458"/>
        <v>1</v>
      </c>
      <c r="AD302" s="85">
        <f t="shared" si="459"/>
        <v>3.5</v>
      </c>
      <c r="AE302" s="85" t="str">
        <f t="shared" si="460"/>
        <v/>
      </c>
    </row>
    <row r="303" spans="1:31" ht="14.25" customHeight="1" x14ac:dyDescent="0.2">
      <c r="A303" s="31">
        <f t="shared" ref="A303:B303" si="476">+A302</f>
        <v>44215</v>
      </c>
      <c r="B303" s="32">
        <f t="shared" si="476"/>
        <v>4</v>
      </c>
      <c r="C303" s="62">
        <f t="shared" si="430"/>
        <v>44215</v>
      </c>
      <c r="D303" s="19">
        <v>162</v>
      </c>
      <c r="E303" s="20"/>
      <c r="F303" s="21"/>
      <c r="G303" s="22"/>
      <c r="H303" s="22"/>
      <c r="I303" s="21"/>
      <c r="J303" s="22"/>
      <c r="K303" s="22"/>
      <c r="L303" s="23">
        <f t="shared" si="431"/>
        <v>0</v>
      </c>
      <c r="M303" s="22">
        <f t="shared" si="432"/>
        <v>0</v>
      </c>
      <c r="N303" s="24">
        <v>5</v>
      </c>
      <c r="O303" s="25">
        <v>1</v>
      </c>
      <c r="P303" s="25">
        <f t="shared" ref="P303:P306" si="477">+IF(J303&gt;0,O303*1,0)</f>
        <v>0</v>
      </c>
      <c r="Q303" s="26"/>
      <c r="R303" s="26"/>
      <c r="S303" s="26"/>
      <c r="T303" s="27"/>
      <c r="U303" s="28">
        <f t="shared" si="434"/>
        <v>0</v>
      </c>
      <c r="V303" s="22"/>
      <c r="W303" s="22"/>
      <c r="X303" s="40"/>
      <c r="Y303" s="22"/>
      <c r="Z303" s="40"/>
      <c r="AA303" s="73"/>
      <c r="AB303" s="73"/>
      <c r="AC303" s="84" t="str">
        <f t="shared" si="458"/>
        <v/>
      </c>
      <c r="AD303" s="85" t="str">
        <f t="shared" si="459"/>
        <v/>
      </c>
      <c r="AE303" s="85" t="str">
        <f t="shared" si="460"/>
        <v/>
      </c>
    </row>
    <row r="304" spans="1:31" ht="14.25" customHeight="1" x14ac:dyDescent="0.2">
      <c r="A304" s="31">
        <f t="shared" ref="A304:B304" si="478">+A303</f>
        <v>44215</v>
      </c>
      <c r="B304" s="32">
        <f t="shared" si="478"/>
        <v>4</v>
      </c>
      <c r="C304" s="62">
        <f t="shared" si="430"/>
        <v>44215</v>
      </c>
      <c r="D304" s="19">
        <v>163</v>
      </c>
      <c r="E304" s="20"/>
      <c r="F304" s="21"/>
      <c r="G304" s="22"/>
      <c r="H304" s="22"/>
      <c r="I304" s="21"/>
      <c r="J304" s="22"/>
      <c r="K304" s="22"/>
      <c r="L304" s="23">
        <f t="shared" si="431"/>
        <v>0</v>
      </c>
      <c r="M304" s="22">
        <f t="shared" si="432"/>
        <v>0</v>
      </c>
      <c r="N304" s="24">
        <v>5</v>
      </c>
      <c r="O304" s="25">
        <v>1</v>
      </c>
      <c r="P304" s="25">
        <f t="shared" si="477"/>
        <v>0</v>
      </c>
      <c r="Q304" s="26"/>
      <c r="R304" s="26"/>
      <c r="S304" s="26"/>
      <c r="T304" s="27"/>
      <c r="U304" s="28">
        <f t="shared" si="434"/>
        <v>0</v>
      </c>
      <c r="V304" s="22"/>
      <c r="W304" s="22"/>
      <c r="X304" s="40"/>
      <c r="Y304" s="22"/>
      <c r="Z304" s="40"/>
      <c r="AA304" s="40"/>
      <c r="AB304" s="40"/>
      <c r="AC304" s="84" t="str">
        <f t="shared" si="458"/>
        <v/>
      </c>
      <c r="AD304" s="85" t="str">
        <f t="shared" si="459"/>
        <v/>
      </c>
      <c r="AE304" s="85" t="str">
        <f t="shared" si="460"/>
        <v/>
      </c>
    </row>
    <row r="305" spans="1:31" ht="14.25" customHeight="1" x14ac:dyDescent="0.2">
      <c r="A305" s="31">
        <f t="shared" ref="A305:B305" si="479">+A304</f>
        <v>44215</v>
      </c>
      <c r="B305" s="32">
        <f t="shared" si="479"/>
        <v>4</v>
      </c>
      <c r="C305" s="62">
        <f t="shared" si="430"/>
        <v>44215</v>
      </c>
      <c r="D305" s="19">
        <v>164</v>
      </c>
      <c r="E305" s="20"/>
      <c r="F305" s="21"/>
      <c r="G305" s="22"/>
      <c r="H305" s="22"/>
      <c r="I305" s="21"/>
      <c r="J305" s="22"/>
      <c r="K305" s="22"/>
      <c r="L305" s="23">
        <f t="shared" si="431"/>
        <v>0</v>
      </c>
      <c r="M305" s="22">
        <f t="shared" si="432"/>
        <v>0</v>
      </c>
      <c r="N305" s="24">
        <v>5</v>
      </c>
      <c r="O305" s="25">
        <v>1</v>
      </c>
      <c r="P305" s="25">
        <f t="shared" si="477"/>
        <v>0</v>
      </c>
      <c r="Q305" s="26"/>
      <c r="R305" s="26"/>
      <c r="S305" s="26"/>
      <c r="T305" s="27"/>
      <c r="U305" s="28">
        <f t="shared" si="434"/>
        <v>0</v>
      </c>
      <c r="V305" s="22"/>
      <c r="W305" s="22"/>
      <c r="X305" s="40"/>
      <c r="Y305" s="22"/>
      <c r="Z305" s="40"/>
      <c r="AA305" s="40"/>
      <c r="AB305" s="40"/>
      <c r="AC305" s="84" t="str">
        <f t="shared" si="458"/>
        <v/>
      </c>
      <c r="AD305" s="85" t="str">
        <f t="shared" si="459"/>
        <v/>
      </c>
      <c r="AE305" s="85" t="str">
        <f t="shared" si="460"/>
        <v/>
      </c>
    </row>
    <row r="306" spans="1:31" ht="14.25" customHeight="1" x14ac:dyDescent="0.2">
      <c r="A306" s="33">
        <f t="shared" ref="A306:B306" si="480">+A305</f>
        <v>44215</v>
      </c>
      <c r="B306" s="34">
        <f t="shared" si="480"/>
        <v>4</v>
      </c>
      <c r="C306" s="63">
        <f t="shared" si="430"/>
        <v>44215</v>
      </c>
      <c r="D306" s="19">
        <v>165</v>
      </c>
      <c r="E306" s="20"/>
      <c r="F306" s="21"/>
      <c r="G306" s="22"/>
      <c r="H306" s="22"/>
      <c r="I306" s="21"/>
      <c r="J306" s="22"/>
      <c r="K306" s="22"/>
      <c r="L306" s="23">
        <f t="shared" si="431"/>
        <v>0</v>
      </c>
      <c r="M306" s="22">
        <f t="shared" si="432"/>
        <v>0</v>
      </c>
      <c r="N306" s="24">
        <v>5</v>
      </c>
      <c r="O306" s="25">
        <v>1</v>
      </c>
      <c r="P306" s="25">
        <f t="shared" si="477"/>
        <v>0</v>
      </c>
      <c r="Q306" s="26"/>
      <c r="R306" s="26"/>
      <c r="S306" s="26"/>
      <c r="T306" s="27"/>
      <c r="U306" s="28">
        <f t="shared" si="434"/>
        <v>0</v>
      </c>
      <c r="V306" s="22"/>
      <c r="W306" s="22"/>
      <c r="X306" s="40"/>
      <c r="Y306" s="22"/>
      <c r="Z306" s="40"/>
      <c r="AA306" s="40"/>
      <c r="AB306" s="40"/>
      <c r="AC306" s="84" t="str">
        <f t="shared" si="458"/>
        <v/>
      </c>
      <c r="AD306" s="85" t="str">
        <f t="shared" si="459"/>
        <v/>
      </c>
      <c r="AE306" s="85" t="str">
        <f t="shared" si="460"/>
        <v/>
      </c>
    </row>
    <row r="307" spans="1:31" ht="14.25" customHeight="1" x14ac:dyDescent="0.2">
      <c r="A307" s="17">
        <f t="shared" si="421"/>
        <v>44216</v>
      </c>
      <c r="B307" s="18">
        <f t="shared" si="422"/>
        <v>4</v>
      </c>
      <c r="C307" s="61">
        <f t="shared" si="430"/>
        <v>44216</v>
      </c>
      <c r="D307" s="19">
        <v>166</v>
      </c>
      <c r="E307" s="20" t="s">
        <v>25</v>
      </c>
      <c r="F307" s="21">
        <v>44184.966122685197</v>
      </c>
      <c r="G307" s="22">
        <v>2017.7</v>
      </c>
      <c r="H307" s="22"/>
      <c r="I307" s="21">
        <v>44184.980416666702</v>
      </c>
      <c r="J307" s="22">
        <v>2021.2</v>
      </c>
      <c r="K307" s="22"/>
      <c r="L307" s="23">
        <f t="shared" si="431"/>
        <v>1.4293981505034026E-2</v>
      </c>
      <c r="M307" s="22">
        <f t="shared" si="432"/>
        <v>3.5</v>
      </c>
      <c r="N307" s="24">
        <v>5</v>
      </c>
      <c r="O307" s="25">
        <v>1</v>
      </c>
      <c r="P307" s="25">
        <f t="shared" ref="P307" si="481">+IF(J307&gt;0,O307*0.8,0)</f>
        <v>0.8</v>
      </c>
      <c r="Q307" s="26"/>
      <c r="R307" s="26"/>
      <c r="S307" s="26"/>
      <c r="T307" s="27"/>
      <c r="U307" s="83">
        <f t="shared" si="434"/>
        <v>16.7</v>
      </c>
      <c r="V307" s="22">
        <f t="shared" si="424"/>
        <v>16.7</v>
      </c>
      <c r="W307" s="74">
        <f>+Tabla1[[#This Row],[RESULTADO DEL DÍA]]+W302</f>
        <v>2548.0999999999972</v>
      </c>
      <c r="X307" s="22">
        <f>+X302+Tabla1[[#This Row],[Objetivo presupuestado]]</f>
        <v>3150</v>
      </c>
      <c r="Y307" s="22" t="str">
        <f t="shared" ref="Y307" si="482">IF(AF307=0,"0",10)</f>
        <v>0</v>
      </c>
      <c r="Z307" s="22" t="str">
        <f t="shared" ref="Z307" si="483">IF(AF307=0,"0",50)</f>
        <v>0</v>
      </c>
      <c r="AA307" s="27">
        <f t="shared" ref="AA307" si="484">+IFERROR(AF310/(AG310*-1),AF310)</f>
        <v>0</v>
      </c>
      <c r="AB307" s="75" t="str">
        <f t="shared" ref="AB307" si="485">+IFERROR(AF311/AF307,"0")</f>
        <v>0</v>
      </c>
      <c r="AC307" s="84">
        <f t="shared" si="458"/>
        <v>1</v>
      </c>
      <c r="AD307" s="85">
        <f t="shared" si="459"/>
        <v>3.5</v>
      </c>
      <c r="AE307" s="85" t="str">
        <f t="shared" si="460"/>
        <v/>
      </c>
    </row>
    <row r="308" spans="1:31" ht="14.25" customHeight="1" x14ac:dyDescent="0.2">
      <c r="A308" s="31">
        <f t="shared" ref="A308:B308" si="486">+A307</f>
        <v>44216</v>
      </c>
      <c r="B308" s="32">
        <f t="shared" si="486"/>
        <v>4</v>
      </c>
      <c r="C308" s="62">
        <f t="shared" si="430"/>
        <v>44216</v>
      </c>
      <c r="D308" s="19">
        <v>167</v>
      </c>
      <c r="E308" s="20"/>
      <c r="F308" s="21"/>
      <c r="G308" s="22"/>
      <c r="H308" s="22"/>
      <c r="I308" s="21"/>
      <c r="J308" s="22"/>
      <c r="K308" s="22"/>
      <c r="L308" s="23">
        <f t="shared" si="431"/>
        <v>0</v>
      </c>
      <c r="M308" s="22">
        <f t="shared" si="432"/>
        <v>0</v>
      </c>
      <c r="N308" s="24">
        <v>5</v>
      </c>
      <c r="O308" s="25">
        <v>1</v>
      </c>
      <c r="P308" s="25">
        <f t="shared" ref="P308:P311" si="487">+IF(J308&gt;0,O308*1,0)</f>
        <v>0</v>
      </c>
      <c r="Q308" s="26"/>
      <c r="R308" s="26"/>
      <c r="S308" s="26"/>
      <c r="T308" s="27"/>
      <c r="U308" s="28">
        <f t="shared" si="434"/>
        <v>0</v>
      </c>
      <c r="V308" s="22"/>
      <c r="W308" s="22"/>
      <c r="X308" s="40"/>
      <c r="Y308" s="22"/>
      <c r="Z308" s="40"/>
      <c r="AA308" s="73"/>
      <c r="AB308" s="73"/>
      <c r="AC308" s="84" t="str">
        <f t="shared" si="458"/>
        <v/>
      </c>
      <c r="AD308" s="85" t="str">
        <f t="shared" si="459"/>
        <v/>
      </c>
      <c r="AE308" s="85" t="str">
        <f t="shared" si="460"/>
        <v/>
      </c>
    </row>
    <row r="309" spans="1:31" ht="14.25" customHeight="1" x14ac:dyDescent="0.2">
      <c r="A309" s="31">
        <f t="shared" ref="A309:B309" si="488">+A308</f>
        <v>44216</v>
      </c>
      <c r="B309" s="32">
        <f t="shared" si="488"/>
        <v>4</v>
      </c>
      <c r="C309" s="62">
        <f t="shared" si="430"/>
        <v>44216</v>
      </c>
      <c r="D309" s="19">
        <v>168</v>
      </c>
      <c r="E309" s="20"/>
      <c r="F309" s="21"/>
      <c r="G309" s="22"/>
      <c r="H309" s="22"/>
      <c r="I309" s="21"/>
      <c r="J309" s="22"/>
      <c r="K309" s="22"/>
      <c r="L309" s="23">
        <f t="shared" si="431"/>
        <v>0</v>
      </c>
      <c r="M309" s="22">
        <f t="shared" si="432"/>
        <v>0</v>
      </c>
      <c r="N309" s="24">
        <v>5</v>
      </c>
      <c r="O309" s="25">
        <v>1</v>
      </c>
      <c r="P309" s="25">
        <f t="shared" si="487"/>
        <v>0</v>
      </c>
      <c r="Q309" s="26"/>
      <c r="R309" s="26"/>
      <c r="S309" s="26"/>
      <c r="T309" s="27"/>
      <c r="U309" s="28">
        <f t="shared" si="434"/>
        <v>0</v>
      </c>
      <c r="V309" s="22"/>
      <c r="W309" s="22"/>
      <c r="X309" s="40"/>
      <c r="Y309" s="22"/>
      <c r="Z309" s="40"/>
      <c r="AA309" s="40"/>
      <c r="AB309" s="40"/>
      <c r="AC309" s="84" t="str">
        <f t="shared" si="458"/>
        <v/>
      </c>
      <c r="AD309" s="85" t="str">
        <f t="shared" si="459"/>
        <v/>
      </c>
      <c r="AE309" s="85" t="str">
        <f t="shared" si="460"/>
        <v/>
      </c>
    </row>
    <row r="310" spans="1:31" ht="14.25" customHeight="1" x14ac:dyDescent="0.2">
      <c r="A310" s="31">
        <f t="shared" ref="A310:B310" si="489">+A309</f>
        <v>44216</v>
      </c>
      <c r="B310" s="32">
        <f t="shared" si="489"/>
        <v>4</v>
      </c>
      <c r="C310" s="62">
        <f t="shared" si="430"/>
        <v>44216</v>
      </c>
      <c r="D310" s="19">
        <v>169</v>
      </c>
      <c r="E310" s="20"/>
      <c r="F310" s="21"/>
      <c r="G310" s="22"/>
      <c r="H310" s="22"/>
      <c r="I310" s="21"/>
      <c r="J310" s="22"/>
      <c r="K310" s="22"/>
      <c r="L310" s="23">
        <f t="shared" si="431"/>
        <v>0</v>
      </c>
      <c r="M310" s="22">
        <f t="shared" si="432"/>
        <v>0</v>
      </c>
      <c r="N310" s="24">
        <v>5</v>
      </c>
      <c r="O310" s="25">
        <v>1</v>
      </c>
      <c r="P310" s="25">
        <f t="shared" si="487"/>
        <v>0</v>
      </c>
      <c r="Q310" s="26"/>
      <c r="R310" s="26"/>
      <c r="S310" s="26"/>
      <c r="T310" s="27"/>
      <c r="U310" s="28">
        <f t="shared" si="434"/>
        <v>0</v>
      </c>
      <c r="V310" s="22"/>
      <c r="W310" s="22"/>
      <c r="X310" s="40"/>
      <c r="Y310" s="22"/>
      <c r="Z310" s="40"/>
      <c r="AA310" s="40"/>
      <c r="AB310" s="40"/>
      <c r="AC310" s="84" t="str">
        <f t="shared" si="458"/>
        <v/>
      </c>
      <c r="AD310" s="85" t="str">
        <f t="shared" si="459"/>
        <v/>
      </c>
      <c r="AE310" s="85" t="str">
        <f t="shared" si="460"/>
        <v/>
      </c>
    </row>
    <row r="311" spans="1:31" ht="14.25" customHeight="1" x14ac:dyDescent="0.2">
      <c r="A311" s="33">
        <f t="shared" ref="A311:B311" si="490">+A310</f>
        <v>44216</v>
      </c>
      <c r="B311" s="34">
        <f t="shared" si="490"/>
        <v>4</v>
      </c>
      <c r="C311" s="63">
        <f t="shared" si="430"/>
        <v>44216</v>
      </c>
      <c r="D311" s="19">
        <v>170</v>
      </c>
      <c r="E311" s="20"/>
      <c r="F311" s="21"/>
      <c r="G311" s="22"/>
      <c r="H311" s="22"/>
      <c r="I311" s="21"/>
      <c r="J311" s="22"/>
      <c r="K311" s="22"/>
      <c r="L311" s="23">
        <f t="shared" si="431"/>
        <v>0</v>
      </c>
      <c r="M311" s="22">
        <f t="shared" si="432"/>
        <v>0</v>
      </c>
      <c r="N311" s="24">
        <v>5</v>
      </c>
      <c r="O311" s="25">
        <v>1</v>
      </c>
      <c r="P311" s="25">
        <f t="shared" si="487"/>
        <v>0</v>
      </c>
      <c r="Q311" s="26"/>
      <c r="R311" s="26"/>
      <c r="S311" s="26"/>
      <c r="T311" s="27"/>
      <c r="U311" s="28">
        <f t="shared" si="434"/>
        <v>0</v>
      </c>
      <c r="V311" s="22"/>
      <c r="W311" s="22"/>
      <c r="X311" s="40"/>
      <c r="Y311" s="22"/>
      <c r="Z311" s="40"/>
      <c r="AA311" s="40"/>
      <c r="AB311" s="40"/>
      <c r="AC311" s="84" t="str">
        <f t="shared" si="458"/>
        <v/>
      </c>
      <c r="AD311" s="85" t="str">
        <f t="shared" si="459"/>
        <v/>
      </c>
      <c r="AE311" s="85" t="str">
        <f t="shared" si="460"/>
        <v/>
      </c>
    </row>
    <row r="312" spans="1:31" ht="14.25" customHeight="1" x14ac:dyDescent="0.2">
      <c r="A312" s="17">
        <f t="shared" si="421"/>
        <v>44217</v>
      </c>
      <c r="B312" s="18">
        <f t="shared" si="422"/>
        <v>4</v>
      </c>
      <c r="C312" s="61">
        <f t="shared" si="430"/>
        <v>44217</v>
      </c>
      <c r="D312" s="19">
        <v>171</v>
      </c>
      <c r="E312" s="20" t="s">
        <v>25</v>
      </c>
      <c r="F312" s="21">
        <v>44185.007789351803</v>
      </c>
      <c r="G312" s="22">
        <v>2018.7</v>
      </c>
      <c r="H312" s="22"/>
      <c r="I312" s="21">
        <v>44185.022083333301</v>
      </c>
      <c r="J312" s="22">
        <v>2022.2</v>
      </c>
      <c r="K312" s="22"/>
      <c r="L312" s="23">
        <f t="shared" si="431"/>
        <v>1.4293981497758068E-2</v>
      </c>
      <c r="M312" s="22">
        <f t="shared" si="432"/>
        <v>3.5</v>
      </c>
      <c r="N312" s="24">
        <v>5</v>
      </c>
      <c r="O312" s="25">
        <v>1</v>
      </c>
      <c r="P312" s="25">
        <f t="shared" ref="P312" si="491">+IF(J312&gt;0,O312*0.8,0)</f>
        <v>0.8</v>
      </c>
      <c r="Q312" s="26"/>
      <c r="R312" s="26"/>
      <c r="S312" s="26"/>
      <c r="T312" s="27"/>
      <c r="U312" s="83">
        <f t="shared" si="434"/>
        <v>16.7</v>
      </c>
      <c r="V312" s="22">
        <f t="shared" si="424"/>
        <v>16.7</v>
      </c>
      <c r="W312" s="74">
        <f>+Tabla1[[#This Row],[RESULTADO DEL DÍA]]+W307</f>
        <v>2564.799999999997</v>
      </c>
      <c r="X312" s="22">
        <f>+X307+Tabla1[[#This Row],[Objetivo presupuestado]]</f>
        <v>3150</v>
      </c>
      <c r="Y312" s="22" t="str">
        <f t="shared" ref="Y312" si="492">IF(AF312=0,"0",10)</f>
        <v>0</v>
      </c>
      <c r="Z312" s="22" t="str">
        <f t="shared" ref="Z312" si="493">IF(AF312=0,"0",50)</f>
        <v>0</v>
      </c>
      <c r="AA312" s="27">
        <f t="shared" ref="AA312" si="494">+IFERROR(AF315/(AG315*-1),AF315)</f>
        <v>0</v>
      </c>
      <c r="AB312" s="75" t="str">
        <f t="shared" ref="AB312" si="495">+IFERROR(AF316/AF312,"0")</f>
        <v>0</v>
      </c>
      <c r="AC312" s="84">
        <f t="shared" si="458"/>
        <v>1</v>
      </c>
      <c r="AD312" s="85">
        <f t="shared" si="459"/>
        <v>3.5</v>
      </c>
      <c r="AE312" s="85" t="str">
        <f t="shared" si="460"/>
        <v/>
      </c>
    </row>
    <row r="313" spans="1:31" ht="14.25" customHeight="1" x14ac:dyDescent="0.2">
      <c r="A313" s="31">
        <f t="shared" ref="A313:B313" si="496">+A312</f>
        <v>44217</v>
      </c>
      <c r="B313" s="32">
        <f t="shared" si="496"/>
        <v>4</v>
      </c>
      <c r="C313" s="62">
        <f t="shared" si="430"/>
        <v>44217</v>
      </c>
      <c r="D313" s="19">
        <v>172</v>
      </c>
      <c r="E313" s="20"/>
      <c r="F313" s="21"/>
      <c r="G313" s="22"/>
      <c r="H313" s="22"/>
      <c r="I313" s="21"/>
      <c r="J313" s="22"/>
      <c r="K313" s="22"/>
      <c r="L313" s="23">
        <f t="shared" si="431"/>
        <v>0</v>
      </c>
      <c r="M313" s="22">
        <f t="shared" si="432"/>
        <v>0</v>
      </c>
      <c r="N313" s="24">
        <v>5</v>
      </c>
      <c r="O313" s="25">
        <v>1</v>
      </c>
      <c r="P313" s="25">
        <f t="shared" ref="P313:P316" si="497">+IF(J313&gt;0,O313*1,0)</f>
        <v>0</v>
      </c>
      <c r="Q313" s="26"/>
      <c r="R313" s="26"/>
      <c r="S313" s="26"/>
      <c r="T313" s="27"/>
      <c r="U313" s="28">
        <f t="shared" si="434"/>
        <v>0</v>
      </c>
      <c r="V313" s="22"/>
      <c r="W313" s="22"/>
      <c r="X313" s="40"/>
      <c r="Y313" s="22"/>
      <c r="Z313" s="40"/>
      <c r="AA313" s="73"/>
      <c r="AB313" s="73"/>
      <c r="AC313" s="84" t="str">
        <f t="shared" si="458"/>
        <v/>
      </c>
      <c r="AD313" s="85" t="str">
        <f t="shared" si="459"/>
        <v/>
      </c>
      <c r="AE313" s="85" t="str">
        <f t="shared" si="460"/>
        <v/>
      </c>
    </row>
    <row r="314" spans="1:31" ht="14.25" customHeight="1" x14ac:dyDescent="0.2">
      <c r="A314" s="31">
        <f t="shared" ref="A314:B314" si="498">+A313</f>
        <v>44217</v>
      </c>
      <c r="B314" s="32">
        <f t="shared" si="498"/>
        <v>4</v>
      </c>
      <c r="C314" s="62">
        <f t="shared" si="430"/>
        <v>44217</v>
      </c>
      <c r="D314" s="19">
        <v>173</v>
      </c>
      <c r="E314" s="20"/>
      <c r="F314" s="21"/>
      <c r="G314" s="22"/>
      <c r="H314" s="22"/>
      <c r="I314" s="21"/>
      <c r="J314" s="22"/>
      <c r="K314" s="22"/>
      <c r="L314" s="23">
        <f t="shared" si="431"/>
        <v>0</v>
      </c>
      <c r="M314" s="22">
        <f t="shared" si="432"/>
        <v>0</v>
      </c>
      <c r="N314" s="24">
        <v>5</v>
      </c>
      <c r="O314" s="25">
        <v>1</v>
      </c>
      <c r="P314" s="25">
        <f t="shared" si="497"/>
        <v>0</v>
      </c>
      <c r="Q314" s="26"/>
      <c r="R314" s="26"/>
      <c r="S314" s="26"/>
      <c r="T314" s="27"/>
      <c r="U314" s="28">
        <f t="shared" si="434"/>
        <v>0</v>
      </c>
      <c r="V314" s="22"/>
      <c r="W314" s="22"/>
      <c r="X314" s="40"/>
      <c r="Y314" s="22"/>
      <c r="Z314" s="40"/>
      <c r="AA314" s="40"/>
      <c r="AB314" s="40"/>
      <c r="AC314" s="84" t="str">
        <f t="shared" si="458"/>
        <v/>
      </c>
      <c r="AD314" s="85" t="str">
        <f t="shared" si="459"/>
        <v/>
      </c>
      <c r="AE314" s="85" t="str">
        <f t="shared" si="460"/>
        <v/>
      </c>
    </row>
    <row r="315" spans="1:31" ht="14.25" customHeight="1" x14ac:dyDescent="0.2">
      <c r="A315" s="31">
        <f t="shared" ref="A315:B315" si="499">+A314</f>
        <v>44217</v>
      </c>
      <c r="B315" s="32">
        <f t="shared" si="499"/>
        <v>4</v>
      </c>
      <c r="C315" s="62">
        <f t="shared" si="430"/>
        <v>44217</v>
      </c>
      <c r="D315" s="19">
        <v>174</v>
      </c>
      <c r="E315" s="20"/>
      <c r="F315" s="21"/>
      <c r="G315" s="22"/>
      <c r="H315" s="22"/>
      <c r="I315" s="21"/>
      <c r="J315" s="22"/>
      <c r="K315" s="22"/>
      <c r="L315" s="23">
        <f t="shared" si="431"/>
        <v>0</v>
      </c>
      <c r="M315" s="22">
        <f t="shared" si="432"/>
        <v>0</v>
      </c>
      <c r="N315" s="24">
        <v>5</v>
      </c>
      <c r="O315" s="25">
        <v>1</v>
      </c>
      <c r="P315" s="25">
        <f t="shared" si="497"/>
        <v>0</v>
      </c>
      <c r="Q315" s="26"/>
      <c r="R315" s="26"/>
      <c r="S315" s="26"/>
      <c r="T315" s="27"/>
      <c r="U315" s="28">
        <f t="shared" si="434"/>
        <v>0</v>
      </c>
      <c r="V315" s="22"/>
      <c r="W315" s="22"/>
      <c r="X315" s="40"/>
      <c r="Y315" s="22"/>
      <c r="Z315" s="40"/>
      <c r="AA315" s="40"/>
      <c r="AB315" s="40"/>
      <c r="AC315" s="84" t="str">
        <f t="shared" si="458"/>
        <v/>
      </c>
      <c r="AD315" s="85" t="str">
        <f t="shared" si="459"/>
        <v/>
      </c>
      <c r="AE315" s="85" t="str">
        <f t="shared" si="460"/>
        <v/>
      </c>
    </row>
    <row r="316" spans="1:31" ht="14.25" customHeight="1" x14ac:dyDescent="0.2">
      <c r="A316" s="33">
        <f t="shared" ref="A316:B316" si="500">+A315</f>
        <v>44217</v>
      </c>
      <c r="B316" s="34">
        <f t="shared" si="500"/>
        <v>4</v>
      </c>
      <c r="C316" s="63">
        <f t="shared" si="430"/>
        <v>44217</v>
      </c>
      <c r="D316" s="19">
        <v>175</v>
      </c>
      <c r="E316" s="20"/>
      <c r="F316" s="21"/>
      <c r="G316" s="22"/>
      <c r="H316" s="22"/>
      <c r="I316" s="21"/>
      <c r="J316" s="22"/>
      <c r="K316" s="22"/>
      <c r="L316" s="23">
        <f t="shared" si="431"/>
        <v>0</v>
      </c>
      <c r="M316" s="22">
        <f t="shared" si="432"/>
        <v>0</v>
      </c>
      <c r="N316" s="24">
        <v>5</v>
      </c>
      <c r="O316" s="25">
        <v>1</v>
      </c>
      <c r="P316" s="25">
        <f t="shared" si="497"/>
        <v>0</v>
      </c>
      <c r="Q316" s="26"/>
      <c r="R316" s="26"/>
      <c r="S316" s="26"/>
      <c r="T316" s="27"/>
      <c r="U316" s="28">
        <f t="shared" si="434"/>
        <v>0</v>
      </c>
      <c r="V316" s="22"/>
      <c r="W316" s="22"/>
      <c r="X316" s="40"/>
      <c r="Y316" s="22"/>
      <c r="Z316" s="40"/>
      <c r="AA316" s="40"/>
      <c r="AB316" s="40"/>
      <c r="AC316" s="84" t="str">
        <f t="shared" si="458"/>
        <v/>
      </c>
      <c r="AD316" s="85" t="str">
        <f t="shared" si="459"/>
        <v/>
      </c>
      <c r="AE316" s="85" t="str">
        <f t="shared" si="460"/>
        <v/>
      </c>
    </row>
    <row r="317" spans="1:31" ht="14.25" customHeight="1" x14ac:dyDescent="0.2">
      <c r="A317" s="17">
        <f t="shared" si="421"/>
        <v>44218</v>
      </c>
      <c r="B317" s="18">
        <f t="shared" si="422"/>
        <v>4</v>
      </c>
      <c r="C317" s="61">
        <f t="shared" si="430"/>
        <v>44218</v>
      </c>
      <c r="D317" s="19">
        <v>176</v>
      </c>
      <c r="E317" s="20" t="s">
        <v>25</v>
      </c>
      <c r="F317" s="21">
        <v>44185.049456018503</v>
      </c>
      <c r="G317" s="22">
        <v>2019.7</v>
      </c>
      <c r="H317" s="22"/>
      <c r="I317" s="21">
        <v>44185.063750000001</v>
      </c>
      <c r="J317" s="22">
        <v>2023.2</v>
      </c>
      <c r="K317" s="22"/>
      <c r="L317" s="23">
        <f t="shared" si="431"/>
        <v>1.4293981497758068E-2</v>
      </c>
      <c r="M317" s="22">
        <f t="shared" si="432"/>
        <v>3.5</v>
      </c>
      <c r="N317" s="24">
        <v>5</v>
      </c>
      <c r="O317" s="25">
        <v>1</v>
      </c>
      <c r="P317" s="25">
        <f t="shared" ref="P317" si="501">+IF(J317&gt;0,O317*0.8,0)</f>
        <v>0.8</v>
      </c>
      <c r="Q317" s="26"/>
      <c r="R317" s="26"/>
      <c r="S317" s="26"/>
      <c r="T317" s="27"/>
      <c r="U317" s="83">
        <f t="shared" si="434"/>
        <v>16.7</v>
      </c>
      <c r="V317" s="22">
        <f t="shared" si="424"/>
        <v>16.7</v>
      </c>
      <c r="W317" s="74">
        <f>+Tabla1[[#This Row],[RESULTADO DEL DÍA]]+W312</f>
        <v>2581.4999999999968</v>
      </c>
      <c r="X317" s="22">
        <f>+X312+Tabla1[[#This Row],[Objetivo presupuestado]]</f>
        <v>3150</v>
      </c>
      <c r="Y317" s="22" t="str">
        <f t="shared" ref="Y317" si="502">IF(AF317=0,"0",10)</f>
        <v>0</v>
      </c>
      <c r="Z317" s="22" t="str">
        <f t="shared" ref="Z317" si="503">IF(AF317=0,"0",50)</f>
        <v>0</v>
      </c>
      <c r="AA317" s="27">
        <f t="shared" ref="AA317" si="504">+IFERROR(AF320/(AG320*-1),AF320)</f>
        <v>0</v>
      </c>
      <c r="AB317" s="75" t="str">
        <f t="shared" ref="AB317" si="505">+IFERROR(AF321/AF317,"0")</f>
        <v>0</v>
      </c>
      <c r="AC317" s="84">
        <f t="shared" si="458"/>
        <v>1</v>
      </c>
      <c r="AD317" s="85">
        <f t="shared" si="459"/>
        <v>3.5</v>
      </c>
      <c r="AE317" s="85" t="str">
        <f t="shared" si="460"/>
        <v/>
      </c>
    </row>
    <row r="318" spans="1:31" ht="14.25" customHeight="1" x14ac:dyDescent="0.2">
      <c r="A318" s="31">
        <f t="shared" ref="A318:B318" si="506">+A317</f>
        <v>44218</v>
      </c>
      <c r="B318" s="32">
        <f t="shared" si="506"/>
        <v>4</v>
      </c>
      <c r="C318" s="62">
        <f t="shared" si="430"/>
        <v>44218</v>
      </c>
      <c r="D318" s="19">
        <v>177</v>
      </c>
      <c r="E318" s="20"/>
      <c r="F318" s="21"/>
      <c r="G318" s="22"/>
      <c r="H318" s="22"/>
      <c r="I318" s="21"/>
      <c r="J318" s="22"/>
      <c r="K318" s="22"/>
      <c r="L318" s="23">
        <f t="shared" si="431"/>
        <v>0</v>
      </c>
      <c r="M318" s="22">
        <f t="shared" si="432"/>
        <v>0</v>
      </c>
      <c r="N318" s="24">
        <v>5</v>
      </c>
      <c r="O318" s="25">
        <v>1</v>
      </c>
      <c r="P318" s="25">
        <f t="shared" ref="P318:P321" si="507">+IF(J318&gt;0,O318*1,0)</f>
        <v>0</v>
      </c>
      <c r="Q318" s="26"/>
      <c r="R318" s="26"/>
      <c r="S318" s="26"/>
      <c r="T318" s="27"/>
      <c r="U318" s="28">
        <f t="shared" si="434"/>
        <v>0</v>
      </c>
      <c r="V318" s="22"/>
      <c r="W318" s="22"/>
      <c r="X318" s="40"/>
      <c r="Y318" s="22"/>
      <c r="Z318" s="40"/>
      <c r="AA318" s="73"/>
      <c r="AB318" s="73"/>
      <c r="AC318" s="84" t="str">
        <f t="shared" si="458"/>
        <v/>
      </c>
      <c r="AD318" s="85" t="str">
        <f t="shared" si="459"/>
        <v/>
      </c>
      <c r="AE318" s="85" t="str">
        <f t="shared" si="460"/>
        <v/>
      </c>
    </row>
    <row r="319" spans="1:31" ht="14.25" customHeight="1" x14ac:dyDescent="0.2">
      <c r="A319" s="31">
        <f t="shared" ref="A319:B319" si="508">+A318</f>
        <v>44218</v>
      </c>
      <c r="B319" s="32">
        <f t="shared" si="508"/>
        <v>4</v>
      </c>
      <c r="C319" s="62">
        <f t="shared" si="430"/>
        <v>44218</v>
      </c>
      <c r="D319" s="19">
        <v>178</v>
      </c>
      <c r="E319" s="20"/>
      <c r="F319" s="21"/>
      <c r="G319" s="22"/>
      <c r="H319" s="22"/>
      <c r="I319" s="21"/>
      <c r="J319" s="22"/>
      <c r="K319" s="22"/>
      <c r="L319" s="23">
        <f t="shared" si="431"/>
        <v>0</v>
      </c>
      <c r="M319" s="22">
        <f t="shared" si="432"/>
        <v>0</v>
      </c>
      <c r="N319" s="24">
        <v>5</v>
      </c>
      <c r="O319" s="25">
        <v>1</v>
      </c>
      <c r="P319" s="25">
        <f t="shared" si="507"/>
        <v>0</v>
      </c>
      <c r="Q319" s="26"/>
      <c r="R319" s="26"/>
      <c r="S319" s="26"/>
      <c r="T319" s="27"/>
      <c r="U319" s="28">
        <f t="shared" si="434"/>
        <v>0</v>
      </c>
      <c r="V319" s="22"/>
      <c r="W319" s="22"/>
      <c r="X319" s="40"/>
      <c r="Y319" s="22"/>
      <c r="Z319" s="40"/>
      <c r="AA319" s="40"/>
      <c r="AB319" s="40"/>
      <c r="AC319" s="84" t="str">
        <f t="shared" si="458"/>
        <v/>
      </c>
      <c r="AD319" s="85" t="str">
        <f t="shared" si="459"/>
        <v/>
      </c>
      <c r="AE319" s="85" t="str">
        <f t="shared" si="460"/>
        <v/>
      </c>
    </row>
    <row r="320" spans="1:31" ht="14.25" customHeight="1" x14ac:dyDescent="0.2">
      <c r="A320" s="31">
        <f t="shared" ref="A320:B320" si="509">+A319</f>
        <v>44218</v>
      </c>
      <c r="B320" s="32">
        <f t="shared" si="509"/>
        <v>4</v>
      </c>
      <c r="C320" s="62">
        <f t="shared" si="430"/>
        <v>44218</v>
      </c>
      <c r="D320" s="19">
        <v>179</v>
      </c>
      <c r="E320" s="20"/>
      <c r="F320" s="21"/>
      <c r="G320" s="22"/>
      <c r="H320" s="22"/>
      <c r="I320" s="21"/>
      <c r="J320" s="22"/>
      <c r="K320" s="22"/>
      <c r="L320" s="23">
        <f t="shared" si="431"/>
        <v>0</v>
      </c>
      <c r="M320" s="22">
        <f t="shared" si="432"/>
        <v>0</v>
      </c>
      <c r="N320" s="24">
        <v>5</v>
      </c>
      <c r="O320" s="25">
        <v>1</v>
      </c>
      <c r="P320" s="25">
        <f t="shared" si="507"/>
        <v>0</v>
      </c>
      <c r="Q320" s="26"/>
      <c r="R320" s="26"/>
      <c r="S320" s="26"/>
      <c r="T320" s="27"/>
      <c r="U320" s="28">
        <f t="shared" si="434"/>
        <v>0</v>
      </c>
      <c r="V320" s="22"/>
      <c r="W320" s="22"/>
      <c r="X320" s="40"/>
      <c r="Y320" s="22"/>
      <c r="Z320" s="40"/>
      <c r="AA320" s="40"/>
      <c r="AB320" s="40"/>
      <c r="AC320" s="84" t="str">
        <f t="shared" si="458"/>
        <v/>
      </c>
      <c r="AD320" s="85" t="str">
        <f t="shared" si="459"/>
        <v/>
      </c>
      <c r="AE320" s="85" t="str">
        <f t="shared" si="460"/>
        <v/>
      </c>
    </row>
    <row r="321" spans="1:31" ht="14.25" customHeight="1" x14ac:dyDescent="0.2">
      <c r="A321" s="33">
        <f t="shared" ref="A321:B321" si="510">+A320</f>
        <v>44218</v>
      </c>
      <c r="B321" s="34">
        <f t="shared" si="510"/>
        <v>4</v>
      </c>
      <c r="C321" s="63">
        <f t="shared" si="430"/>
        <v>44218</v>
      </c>
      <c r="D321" s="19">
        <v>180</v>
      </c>
      <c r="E321" s="20"/>
      <c r="F321" s="21"/>
      <c r="G321" s="22"/>
      <c r="H321" s="22"/>
      <c r="I321" s="21"/>
      <c r="J321" s="22"/>
      <c r="K321" s="22"/>
      <c r="L321" s="23">
        <f t="shared" si="431"/>
        <v>0</v>
      </c>
      <c r="M321" s="22">
        <f t="shared" si="432"/>
        <v>0</v>
      </c>
      <c r="N321" s="24">
        <v>5</v>
      </c>
      <c r="O321" s="25">
        <v>1</v>
      </c>
      <c r="P321" s="25">
        <f t="shared" si="507"/>
        <v>0</v>
      </c>
      <c r="Q321" s="26"/>
      <c r="R321" s="26"/>
      <c r="S321" s="26"/>
      <c r="T321" s="27"/>
      <c r="U321" s="28">
        <f t="shared" si="434"/>
        <v>0</v>
      </c>
      <c r="V321" s="22"/>
      <c r="W321" s="22"/>
      <c r="X321" s="40"/>
      <c r="Y321" s="22"/>
      <c r="Z321" s="40"/>
      <c r="AA321" s="40"/>
      <c r="AB321" s="40"/>
      <c r="AC321" s="84" t="str">
        <f t="shared" si="458"/>
        <v/>
      </c>
      <c r="AD321" s="85" t="str">
        <f t="shared" si="459"/>
        <v/>
      </c>
      <c r="AE321" s="85" t="str">
        <f t="shared" si="460"/>
        <v/>
      </c>
    </row>
    <row r="322" spans="1:31" ht="14.25" customHeight="1" x14ac:dyDescent="0.2">
      <c r="A322" s="17">
        <f t="shared" si="421"/>
        <v>44219</v>
      </c>
      <c r="B322" s="18">
        <f t="shared" si="422"/>
        <v>4</v>
      </c>
      <c r="C322" s="61">
        <f t="shared" si="430"/>
        <v>44219</v>
      </c>
      <c r="D322" s="19">
        <v>181</v>
      </c>
      <c r="E322" s="20" t="s">
        <v>25</v>
      </c>
      <c r="F322" s="21">
        <v>44185.091122685197</v>
      </c>
      <c r="G322" s="22">
        <v>2020.7</v>
      </c>
      <c r="H322" s="22"/>
      <c r="I322" s="21">
        <v>44185.105416666702</v>
      </c>
      <c r="J322" s="22">
        <v>2024.2</v>
      </c>
      <c r="K322" s="22"/>
      <c r="L322" s="23">
        <f t="shared" si="431"/>
        <v>1.4293981505034026E-2</v>
      </c>
      <c r="M322" s="22">
        <f t="shared" si="432"/>
        <v>3.5</v>
      </c>
      <c r="N322" s="24">
        <v>5</v>
      </c>
      <c r="O322" s="25">
        <v>1</v>
      </c>
      <c r="P322" s="25">
        <f t="shared" ref="P322" si="511">+IF(J322&gt;0,O322*0.8,0)</f>
        <v>0.8</v>
      </c>
      <c r="Q322" s="26"/>
      <c r="R322" s="26"/>
      <c r="S322" s="26"/>
      <c r="T322" s="27"/>
      <c r="U322" s="83">
        <f t="shared" si="434"/>
        <v>16.7</v>
      </c>
      <c r="V322" s="22">
        <f t="shared" si="424"/>
        <v>16.7</v>
      </c>
      <c r="W322" s="74">
        <f>+Tabla1[[#This Row],[RESULTADO DEL DÍA]]+W317</f>
        <v>2598.1999999999966</v>
      </c>
      <c r="X322" s="22">
        <f>+X317+Tabla1[[#This Row],[Objetivo presupuestado]]</f>
        <v>3150</v>
      </c>
      <c r="Y322" s="22" t="str">
        <f t="shared" ref="Y322" si="512">IF(AF322=0,"0",10)</f>
        <v>0</v>
      </c>
      <c r="Z322" s="22" t="str">
        <f t="shared" ref="Z322" si="513">IF(AF322=0,"0",50)</f>
        <v>0</v>
      </c>
      <c r="AA322" s="27">
        <f t="shared" ref="AA322" si="514">+IFERROR(AF325/(AG325*-1),AF325)</f>
        <v>0</v>
      </c>
      <c r="AB322" s="75" t="str">
        <f t="shared" ref="AB322" si="515">+IFERROR(AF326/AF322,"0")</f>
        <v>0</v>
      </c>
      <c r="AC322" s="84">
        <f t="shared" si="458"/>
        <v>1</v>
      </c>
      <c r="AD322" s="85">
        <f t="shared" si="459"/>
        <v>3.5</v>
      </c>
      <c r="AE322" s="85" t="str">
        <f t="shared" si="460"/>
        <v/>
      </c>
    </row>
    <row r="323" spans="1:31" ht="14.25" customHeight="1" x14ac:dyDescent="0.2">
      <c r="A323" s="31">
        <f t="shared" ref="A323:B323" si="516">+A322</f>
        <v>44219</v>
      </c>
      <c r="B323" s="32">
        <f t="shared" si="516"/>
        <v>4</v>
      </c>
      <c r="C323" s="62">
        <f t="shared" si="430"/>
        <v>44219</v>
      </c>
      <c r="D323" s="19">
        <v>182</v>
      </c>
      <c r="E323" s="20"/>
      <c r="F323" s="21"/>
      <c r="G323" s="22"/>
      <c r="H323" s="22"/>
      <c r="I323" s="21"/>
      <c r="J323" s="22"/>
      <c r="K323" s="22"/>
      <c r="L323" s="23">
        <f t="shared" si="431"/>
        <v>0</v>
      </c>
      <c r="M323" s="22">
        <f t="shared" si="432"/>
        <v>0</v>
      </c>
      <c r="N323" s="24">
        <v>5</v>
      </c>
      <c r="O323" s="25">
        <v>1</v>
      </c>
      <c r="P323" s="25">
        <f t="shared" ref="P323:P326" si="517">+IF(J323&gt;0,O323*1,0)</f>
        <v>0</v>
      </c>
      <c r="Q323" s="26"/>
      <c r="R323" s="26"/>
      <c r="S323" s="26"/>
      <c r="T323" s="27"/>
      <c r="U323" s="28">
        <f t="shared" si="434"/>
        <v>0</v>
      </c>
      <c r="V323" s="22"/>
      <c r="W323" s="22"/>
      <c r="X323" s="40"/>
      <c r="Y323" s="22"/>
      <c r="Z323" s="40"/>
      <c r="AA323" s="73"/>
      <c r="AB323" s="73"/>
      <c r="AC323" s="84" t="str">
        <f t="shared" si="458"/>
        <v/>
      </c>
      <c r="AD323" s="85" t="str">
        <f t="shared" si="459"/>
        <v/>
      </c>
      <c r="AE323" s="85" t="str">
        <f t="shared" si="460"/>
        <v/>
      </c>
    </row>
    <row r="324" spans="1:31" ht="14.25" customHeight="1" x14ac:dyDescent="0.2">
      <c r="A324" s="31">
        <f t="shared" ref="A324:B324" si="518">+A323</f>
        <v>44219</v>
      </c>
      <c r="B324" s="32">
        <f t="shared" si="518"/>
        <v>4</v>
      </c>
      <c r="C324" s="62">
        <f t="shared" si="430"/>
        <v>44219</v>
      </c>
      <c r="D324" s="19">
        <v>183</v>
      </c>
      <c r="E324" s="20"/>
      <c r="F324" s="21"/>
      <c r="G324" s="22"/>
      <c r="H324" s="22"/>
      <c r="I324" s="21"/>
      <c r="J324" s="22"/>
      <c r="K324" s="22"/>
      <c r="L324" s="23">
        <f t="shared" si="431"/>
        <v>0</v>
      </c>
      <c r="M324" s="22">
        <f t="shared" si="432"/>
        <v>0</v>
      </c>
      <c r="N324" s="24">
        <v>5</v>
      </c>
      <c r="O324" s="25">
        <v>1</v>
      </c>
      <c r="P324" s="25">
        <f t="shared" si="517"/>
        <v>0</v>
      </c>
      <c r="Q324" s="26"/>
      <c r="R324" s="26"/>
      <c r="S324" s="26"/>
      <c r="T324" s="27"/>
      <c r="U324" s="28">
        <f t="shared" si="434"/>
        <v>0</v>
      </c>
      <c r="V324" s="22"/>
      <c r="W324" s="22"/>
      <c r="X324" s="40"/>
      <c r="Y324" s="22"/>
      <c r="Z324" s="40"/>
      <c r="AA324" s="40"/>
      <c r="AB324" s="40"/>
      <c r="AC324" s="84" t="str">
        <f t="shared" si="458"/>
        <v/>
      </c>
      <c r="AD324" s="85" t="str">
        <f t="shared" si="459"/>
        <v/>
      </c>
      <c r="AE324" s="85" t="str">
        <f t="shared" si="460"/>
        <v/>
      </c>
    </row>
    <row r="325" spans="1:31" ht="14.25" customHeight="1" x14ac:dyDescent="0.2">
      <c r="A325" s="31">
        <f t="shared" ref="A325:B325" si="519">+A324</f>
        <v>44219</v>
      </c>
      <c r="B325" s="32">
        <f t="shared" si="519"/>
        <v>4</v>
      </c>
      <c r="C325" s="62">
        <f t="shared" si="430"/>
        <v>44219</v>
      </c>
      <c r="D325" s="19">
        <v>184</v>
      </c>
      <c r="E325" s="20"/>
      <c r="F325" s="21"/>
      <c r="G325" s="22"/>
      <c r="H325" s="22"/>
      <c r="I325" s="21"/>
      <c r="J325" s="22"/>
      <c r="K325" s="22"/>
      <c r="L325" s="23">
        <f t="shared" si="431"/>
        <v>0</v>
      </c>
      <c r="M325" s="22">
        <f t="shared" si="432"/>
        <v>0</v>
      </c>
      <c r="N325" s="24">
        <v>5</v>
      </c>
      <c r="O325" s="25">
        <v>1</v>
      </c>
      <c r="P325" s="25">
        <f t="shared" si="517"/>
        <v>0</v>
      </c>
      <c r="Q325" s="26"/>
      <c r="R325" s="26"/>
      <c r="S325" s="26"/>
      <c r="T325" s="27"/>
      <c r="U325" s="28">
        <f t="shared" si="434"/>
        <v>0</v>
      </c>
      <c r="V325" s="22"/>
      <c r="W325" s="22"/>
      <c r="X325" s="40"/>
      <c r="Y325" s="22"/>
      <c r="Z325" s="40"/>
      <c r="AA325" s="40"/>
      <c r="AB325" s="40"/>
      <c r="AC325" s="84" t="str">
        <f t="shared" si="458"/>
        <v/>
      </c>
      <c r="AD325" s="85" t="str">
        <f t="shared" si="459"/>
        <v/>
      </c>
      <c r="AE325" s="85" t="str">
        <f t="shared" si="460"/>
        <v/>
      </c>
    </row>
    <row r="326" spans="1:31" ht="14.25" customHeight="1" x14ac:dyDescent="0.2">
      <c r="A326" s="33">
        <f t="shared" ref="A326:B326" si="520">+A325</f>
        <v>44219</v>
      </c>
      <c r="B326" s="34">
        <f t="shared" si="520"/>
        <v>4</v>
      </c>
      <c r="C326" s="63">
        <f t="shared" si="430"/>
        <v>44219</v>
      </c>
      <c r="D326" s="19">
        <v>185</v>
      </c>
      <c r="E326" s="20"/>
      <c r="F326" s="21"/>
      <c r="G326" s="22"/>
      <c r="H326" s="22"/>
      <c r="I326" s="21"/>
      <c r="J326" s="22"/>
      <c r="K326" s="22"/>
      <c r="L326" s="23">
        <f t="shared" si="431"/>
        <v>0</v>
      </c>
      <c r="M326" s="22">
        <f t="shared" si="432"/>
        <v>0</v>
      </c>
      <c r="N326" s="24">
        <v>5</v>
      </c>
      <c r="O326" s="25">
        <v>1</v>
      </c>
      <c r="P326" s="25">
        <f t="shared" si="517"/>
        <v>0</v>
      </c>
      <c r="Q326" s="26"/>
      <c r="R326" s="26"/>
      <c r="S326" s="26"/>
      <c r="T326" s="27"/>
      <c r="U326" s="28">
        <f t="shared" si="434"/>
        <v>0</v>
      </c>
      <c r="V326" s="22"/>
      <c r="W326" s="22"/>
      <c r="X326" s="40"/>
      <c r="Y326" s="22"/>
      <c r="Z326" s="40"/>
      <c r="AA326" s="40"/>
      <c r="AB326" s="40"/>
      <c r="AC326" s="84" t="str">
        <f t="shared" si="458"/>
        <v/>
      </c>
      <c r="AD326" s="85" t="str">
        <f t="shared" si="459"/>
        <v/>
      </c>
      <c r="AE326" s="85" t="str">
        <f t="shared" si="460"/>
        <v/>
      </c>
    </row>
    <row r="327" spans="1:31" ht="14.25" customHeight="1" x14ac:dyDescent="0.2">
      <c r="A327" s="17">
        <f t="shared" si="421"/>
        <v>44220</v>
      </c>
      <c r="B327" s="18">
        <f t="shared" si="422"/>
        <v>4</v>
      </c>
      <c r="C327" s="61">
        <f t="shared" si="430"/>
        <v>44220</v>
      </c>
      <c r="D327" s="19">
        <v>186</v>
      </c>
      <c r="E327" s="20" t="s">
        <v>25</v>
      </c>
      <c r="F327" s="21">
        <v>44185.132789351803</v>
      </c>
      <c r="G327" s="22">
        <v>2021.7</v>
      </c>
      <c r="H327" s="22"/>
      <c r="I327" s="21">
        <v>44185.147083333301</v>
      </c>
      <c r="J327" s="22">
        <v>2025.2</v>
      </c>
      <c r="K327" s="22"/>
      <c r="L327" s="23">
        <f t="shared" si="431"/>
        <v>1.4293981497758068E-2</v>
      </c>
      <c r="M327" s="22">
        <f t="shared" si="432"/>
        <v>3.5</v>
      </c>
      <c r="N327" s="24">
        <v>5</v>
      </c>
      <c r="O327" s="25">
        <v>1</v>
      </c>
      <c r="P327" s="25">
        <f t="shared" ref="P327" si="521">+IF(J327&gt;0,O327*0.8,0)</f>
        <v>0.8</v>
      </c>
      <c r="Q327" s="26"/>
      <c r="R327" s="26"/>
      <c r="S327" s="26"/>
      <c r="T327" s="27"/>
      <c r="U327" s="83">
        <f t="shared" si="434"/>
        <v>16.7</v>
      </c>
      <c r="V327" s="22">
        <f t="shared" si="424"/>
        <v>16.7</v>
      </c>
      <c r="W327" s="74">
        <f>+Tabla1[[#This Row],[RESULTADO DEL DÍA]]+W322</f>
        <v>2614.8999999999965</v>
      </c>
      <c r="X327" s="22">
        <f>+X322+Tabla1[[#This Row],[Objetivo presupuestado]]</f>
        <v>3150</v>
      </c>
      <c r="Y327" s="22" t="str">
        <f t="shared" ref="Y327" si="522">IF(AF327=0,"0",10)</f>
        <v>0</v>
      </c>
      <c r="Z327" s="22" t="str">
        <f t="shared" ref="Z327" si="523">IF(AF327=0,"0",50)</f>
        <v>0</v>
      </c>
      <c r="AA327" s="27">
        <f t="shared" ref="AA327" si="524">+IFERROR(AF330/(AG330*-1),AF330)</f>
        <v>0</v>
      </c>
      <c r="AB327" s="75" t="str">
        <f t="shared" ref="AB327" si="525">+IFERROR(AF331/AF327,"0")</f>
        <v>0</v>
      </c>
      <c r="AC327" s="84">
        <f t="shared" si="458"/>
        <v>1</v>
      </c>
      <c r="AD327" s="85">
        <f t="shared" si="459"/>
        <v>3.5</v>
      </c>
      <c r="AE327" s="85" t="str">
        <f t="shared" si="460"/>
        <v/>
      </c>
    </row>
    <row r="328" spans="1:31" ht="14.25" customHeight="1" x14ac:dyDescent="0.2">
      <c r="A328" s="31">
        <f t="shared" ref="A328:B328" si="526">+A327</f>
        <v>44220</v>
      </c>
      <c r="B328" s="32">
        <f t="shared" si="526"/>
        <v>4</v>
      </c>
      <c r="C328" s="62">
        <f t="shared" si="430"/>
        <v>44220</v>
      </c>
      <c r="D328" s="19">
        <v>187</v>
      </c>
      <c r="E328" s="20"/>
      <c r="F328" s="21"/>
      <c r="G328" s="22"/>
      <c r="H328" s="22"/>
      <c r="I328" s="21"/>
      <c r="J328" s="22"/>
      <c r="K328" s="22"/>
      <c r="L328" s="23">
        <f t="shared" si="431"/>
        <v>0</v>
      </c>
      <c r="M328" s="22">
        <f t="shared" si="432"/>
        <v>0</v>
      </c>
      <c r="N328" s="24">
        <v>5</v>
      </c>
      <c r="O328" s="25">
        <v>1</v>
      </c>
      <c r="P328" s="25">
        <f t="shared" ref="P328:P331" si="527">+IF(J328&gt;0,O328*1,0)</f>
        <v>0</v>
      </c>
      <c r="Q328" s="26"/>
      <c r="R328" s="26"/>
      <c r="S328" s="26"/>
      <c r="T328" s="27"/>
      <c r="U328" s="28">
        <f t="shared" si="434"/>
        <v>0</v>
      </c>
      <c r="V328" s="22"/>
      <c r="W328" s="22"/>
      <c r="X328" s="40"/>
      <c r="Y328" s="22"/>
      <c r="Z328" s="40"/>
      <c r="AA328" s="73"/>
      <c r="AB328" s="73"/>
      <c r="AC328" s="84" t="str">
        <f t="shared" ref="AC328:AC340" si="528">+IF(J328&gt;0,1,"")</f>
        <v/>
      </c>
      <c r="AD328" s="85" t="str">
        <f t="shared" ref="AD328:AD340" si="529">+IF(M328&gt;0,M328,"")</f>
        <v/>
      </c>
      <c r="AE328" s="85" t="str">
        <f t="shared" ref="AE328:AE340" si="530">+IF(M328&lt;0,M328,"")</f>
        <v/>
      </c>
    </row>
    <row r="329" spans="1:31" ht="14.25" customHeight="1" x14ac:dyDescent="0.2">
      <c r="A329" s="31">
        <f t="shared" ref="A329:B329" si="531">+A328</f>
        <v>44220</v>
      </c>
      <c r="B329" s="32">
        <f t="shared" si="531"/>
        <v>4</v>
      </c>
      <c r="C329" s="62">
        <f t="shared" si="430"/>
        <v>44220</v>
      </c>
      <c r="D329" s="19">
        <v>188</v>
      </c>
      <c r="E329" s="20"/>
      <c r="F329" s="21"/>
      <c r="G329" s="22"/>
      <c r="H329" s="22"/>
      <c r="I329" s="21"/>
      <c r="J329" s="22"/>
      <c r="K329" s="22"/>
      <c r="L329" s="23">
        <f t="shared" si="431"/>
        <v>0</v>
      </c>
      <c r="M329" s="22">
        <f t="shared" si="432"/>
        <v>0</v>
      </c>
      <c r="N329" s="24">
        <v>5</v>
      </c>
      <c r="O329" s="25">
        <v>1</v>
      </c>
      <c r="P329" s="25">
        <f t="shared" si="527"/>
        <v>0</v>
      </c>
      <c r="Q329" s="26"/>
      <c r="R329" s="26"/>
      <c r="S329" s="26"/>
      <c r="T329" s="27"/>
      <c r="U329" s="28">
        <f t="shared" si="434"/>
        <v>0</v>
      </c>
      <c r="V329" s="22"/>
      <c r="W329" s="22"/>
      <c r="X329" s="40"/>
      <c r="Y329" s="22"/>
      <c r="Z329" s="40"/>
      <c r="AA329" s="40"/>
      <c r="AB329" s="40"/>
      <c r="AC329" s="84" t="str">
        <f t="shared" si="528"/>
        <v/>
      </c>
      <c r="AD329" s="85" t="str">
        <f t="shared" si="529"/>
        <v/>
      </c>
      <c r="AE329" s="85" t="str">
        <f t="shared" si="530"/>
        <v/>
      </c>
    </row>
    <row r="330" spans="1:31" ht="14.25" customHeight="1" x14ac:dyDescent="0.2">
      <c r="A330" s="31">
        <f t="shared" ref="A330:B330" si="532">+A329</f>
        <v>44220</v>
      </c>
      <c r="B330" s="32">
        <f t="shared" si="532"/>
        <v>4</v>
      </c>
      <c r="C330" s="62">
        <f t="shared" si="430"/>
        <v>44220</v>
      </c>
      <c r="D330" s="19">
        <v>189</v>
      </c>
      <c r="E330" s="20"/>
      <c r="F330" s="21"/>
      <c r="G330" s="22"/>
      <c r="H330" s="22"/>
      <c r="I330" s="21"/>
      <c r="J330" s="22"/>
      <c r="K330" s="22"/>
      <c r="L330" s="23">
        <f t="shared" si="431"/>
        <v>0</v>
      </c>
      <c r="M330" s="22">
        <f t="shared" si="432"/>
        <v>0</v>
      </c>
      <c r="N330" s="24">
        <v>5</v>
      </c>
      <c r="O330" s="25">
        <v>1</v>
      </c>
      <c r="P330" s="25">
        <f t="shared" si="527"/>
        <v>0</v>
      </c>
      <c r="Q330" s="26"/>
      <c r="R330" s="26"/>
      <c r="S330" s="26"/>
      <c r="T330" s="27"/>
      <c r="U330" s="28">
        <f t="shared" si="434"/>
        <v>0</v>
      </c>
      <c r="V330" s="22"/>
      <c r="W330" s="22"/>
      <c r="X330" s="40"/>
      <c r="Y330" s="22"/>
      <c r="Z330" s="40"/>
      <c r="AA330" s="40"/>
      <c r="AB330" s="40"/>
      <c r="AC330" s="84" t="str">
        <f t="shared" si="528"/>
        <v/>
      </c>
      <c r="AD330" s="85" t="str">
        <f t="shared" si="529"/>
        <v/>
      </c>
      <c r="AE330" s="85" t="str">
        <f t="shared" si="530"/>
        <v/>
      </c>
    </row>
    <row r="331" spans="1:31" ht="14.25" customHeight="1" x14ac:dyDescent="0.2">
      <c r="A331" s="33">
        <f t="shared" ref="A331:B331" si="533">+A330</f>
        <v>44220</v>
      </c>
      <c r="B331" s="34">
        <f t="shared" si="533"/>
        <v>4</v>
      </c>
      <c r="C331" s="63">
        <f t="shared" si="430"/>
        <v>44220</v>
      </c>
      <c r="D331" s="19">
        <v>190</v>
      </c>
      <c r="E331" s="20"/>
      <c r="F331" s="21"/>
      <c r="G331" s="22"/>
      <c r="H331" s="22"/>
      <c r="I331" s="21"/>
      <c r="J331" s="22"/>
      <c r="K331" s="22"/>
      <c r="L331" s="23">
        <f t="shared" si="431"/>
        <v>0</v>
      </c>
      <c r="M331" s="22">
        <f t="shared" si="432"/>
        <v>0</v>
      </c>
      <c r="N331" s="24">
        <v>5</v>
      </c>
      <c r="O331" s="25">
        <v>1</v>
      </c>
      <c r="P331" s="25">
        <f t="shared" si="527"/>
        <v>0</v>
      </c>
      <c r="Q331" s="26"/>
      <c r="R331" s="26"/>
      <c r="S331" s="26"/>
      <c r="T331" s="27"/>
      <c r="U331" s="28">
        <f t="shared" si="434"/>
        <v>0</v>
      </c>
      <c r="V331" s="22"/>
      <c r="W331" s="22"/>
      <c r="X331" s="40"/>
      <c r="Y331" s="22"/>
      <c r="Z331" s="40"/>
      <c r="AA331" s="40"/>
      <c r="AB331" s="40"/>
      <c r="AC331" s="84" t="str">
        <f t="shared" si="528"/>
        <v/>
      </c>
      <c r="AD331" s="85" t="str">
        <f t="shared" si="529"/>
        <v/>
      </c>
      <c r="AE331" s="85" t="str">
        <f t="shared" si="530"/>
        <v/>
      </c>
    </row>
    <row r="332" spans="1:31" ht="14.25" customHeight="1" x14ac:dyDescent="0.2">
      <c r="A332" s="17">
        <f t="shared" si="421"/>
        <v>44221</v>
      </c>
      <c r="B332" s="18">
        <f t="shared" si="422"/>
        <v>5</v>
      </c>
      <c r="C332" s="61">
        <f t="shared" si="430"/>
        <v>44221</v>
      </c>
      <c r="D332" s="19">
        <v>191</v>
      </c>
      <c r="E332" s="20" t="s">
        <v>25</v>
      </c>
      <c r="F332" s="21">
        <v>44185.174456018503</v>
      </c>
      <c r="G332" s="22">
        <v>2022.7</v>
      </c>
      <c r="H332" s="22"/>
      <c r="I332" s="21">
        <v>44185.188750000001</v>
      </c>
      <c r="J332" s="22">
        <v>2026.2</v>
      </c>
      <c r="K332" s="22"/>
      <c r="L332" s="23">
        <f t="shared" si="431"/>
        <v>1.4293981497758068E-2</v>
      </c>
      <c r="M332" s="22">
        <f t="shared" si="432"/>
        <v>3.5</v>
      </c>
      <c r="N332" s="24">
        <v>5</v>
      </c>
      <c r="O332" s="25">
        <v>1</v>
      </c>
      <c r="P332" s="25">
        <f t="shared" ref="P332" si="534">+IF(J332&gt;0,O332*0.8,0)</f>
        <v>0.8</v>
      </c>
      <c r="Q332" s="26"/>
      <c r="R332" s="26"/>
      <c r="S332" s="26"/>
      <c r="T332" s="27"/>
      <c r="U332" s="83">
        <f t="shared" si="434"/>
        <v>16.7</v>
      </c>
      <c r="V332" s="22">
        <f t="shared" si="424"/>
        <v>16.7</v>
      </c>
      <c r="W332" s="74">
        <f>+Tabla1[[#This Row],[RESULTADO DEL DÍA]]+W327</f>
        <v>2631.5999999999963</v>
      </c>
      <c r="X332" s="22">
        <f>+X327+Tabla1[[#This Row],[Objetivo presupuestado]]</f>
        <v>3150</v>
      </c>
      <c r="Y332" s="22" t="str">
        <f t="shared" ref="Y332" si="535">IF(AF332=0,"0",10)</f>
        <v>0</v>
      </c>
      <c r="Z332" s="22" t="str">
        <f t="shared" ref="Z332" si="536">IF(AF332=0,"0",50)</f>
        <v>0</v>
      </c>
      <c r="AA332" s="27">
        <f t="shared" ref="AA332" si="537">+IFERROR(AF335/(AG335*-1),AF335)</f>
        <v>0</v>
      </c>
      <c r="AB332" s="75" t="str">
        <f t="shared" ref="AB332" si="538">+IFERROR(AF336/AF332,"0")</f>
        <v>0</v>
      </c>
      <c r="AC332" s="84">
        <f t="shared" si="528"/>
        <v>1</v>
      </c>
      <c r="AD332" s="85">
        <f t="shared" si="529"/>
        <v>3.5</v>
      </c>
      <c r="AE332" s="85" t="str">
        <f t="shared" si="530"/>
        <v/>
      </c>
    </row>
    <row r="333" spans="1:31" ht="14.25" customHeight="1" x14ac:dyDescent="0.2">
      <c r="A333" s="31">
        <f t="shared" ref="A333:B333" si="539">+A332</f>
        <v>44221</v>
      </c>
      <c r="B333" s="32">
        <f t="shared" si="539"/>
        <v>5</v>
      </c>
      <c r="C333" s="62">
        <f t="shared" si="430"/>
        <v>44221</v>
      </c>
      <c r="D333" s="19">
        <v>192</v>
      </c>
      <c r="E333" s="20"/>
      <c r="F333" s="21"/>
      <c r="G333" s="22"/>
      <c r="H333" s="22"/>
      <c r="I333" s="21"/>
      <c r="J333" s="22"/>
      <c r="K333" s="22"/>
      <c r="L333" s="23">
        <f t="shared" si="431"/>
        <v>0</v>
      </c>
      <c r="M333" s="22">
        <f t="shared" si="432"/>
        <v>0</v>
      </c>
      <c r="N333" s="24">
        <v>5</v>
      </c>
      <c r="O333" s="25">
        <v>1</v>
      </c>
      <c r="P333" s="25">
        <f t="shared" ref="P333:P336" si="540">+IF(J333&gt;0,O333*1,0)</f>
        <v>0</v>
      </c>
      <c r="Q333" s="26"/>
      <c r="R333" s="26"/>
      <c r="S333" s="26"/>
      <c r="T333" s="27"/>
      <c r="U333" s="28">
        <f t="shared" si="434"/>
        <v>0</v>
      </c>
      <c r="V333" s="22"/>
      <c r="W333" s="22"/>
      <c r="X333" s="40"/>
      <c r="Y333" s="22"/>
      <c r="Z333" s="40"/>
      <c r="AA333" s="73"/>
      <c r="AB333" s="73"/>
      <c r="AC333" s="84" t="str">
        <f t="shared" si="528"/>
        <v/>
      </c>
      <c r="AD333" s="85" t="str">
        <f t="shared" si="529"/>
        <v/>
      </c>
      <c r="AE333" s="85" t="str">
        <f t="shared" si="530"/>
        <v/>
      </c>
    </row>
    <row r="334" spans="1:31" ht="14.25" customHeight="1" x14ac:dyDescent="0.2">
      <c r="A334" s="31">
        <f t="shared" ref="A334:B334" si="541">+A333</f>
        <v>44221</v>
      </c>
      <c r="B334" s="32">
        <f t="shared" si="541"/>
        <v>5</v>
      </c>
      <c r="C334" s="62">
        <f t="shared" si="430"/>
        <v>44221</v>
      </c>
      <c r="D334" s="19">
        <v>193</v>
      </c>
      <c r="E334" s="20"/>
      <c r="F334" s="21"/>
      <c r="G334" s="22"/>
      <c r="H334" s="22"/>
      <c r="I334" s="21"/>
      <c r="J334" s="22"/>
      <c r="K334" s="22"/>
      <c r="L334" s="23">
        <f t="shared" si="431"/>
        <v>0</v>
      </c>
      <c r="M334" s="22">
        <f t="shared" si="432"/>
        <v>0</v>
      </c>
      <c r="N334" s="24">
        <v>5</v>
      </c>
      <c r="O334" s="25">
        <v>1</v>
      </c>
      <c r="P334" s="25">
        <f t="shared" si="540"/>
        <v>0</v>
      </c>
      <c r="Q334" s="26"/>
      <c r="R334" s="26"/>
      <c r="S334" s="26"/>
      <c r="T334" s="27"/>
      <c r="U334" s="28">
        <f t="shared" si="434"/>
        <v>0</v>
      </c>
      <c r="V334" s="22"/>
      <c r="W334" s="22"/>
      <c r="X334" s="40"/>
      <c r="Y334" s="22"/>
      <c r="Z334" s="40"/>
      <c r="AA334" s="40"/>
      <c r="AB334" s="40"/>
      <c r="AC334" s="84" t="str">
        <f t="shared" si="528"/>
        <v/>
      </c>
      <c r="AD334" s="85" t="str">
        <f t="shared" si="529"/>
        <v/>
      </c>
      <c r="AE334" s="85" t="str">
        <f t="shared" si="530"/>
        <v/>
      </c>
    </row>
    <row r="335" spans="1:31" ht="14.25" customHeight="1" x14ac:dyDescent="0.2">
      <c r="A335" s="31">
        <f t="shared" ref="A335:B335" si="542">+A334</f>
        <v>44221</v>
      </c>
      <c r="B335" s="32">
        <f t="shared" si="542"/>
        <v>5</v>
      </c>
      <c r="C335" s="62">
        <f t="shared" si="430"/>
        <v>44221</v>
      </c>
      <c r="D335" s="19">
        <v>194</v>
      </c>
      <c r="E335" s="20"/>
      <c r="F335" s="21"/>
      <c r="G335" s="22"/>
      <c r="H335" s="22"/>
      <c r="I335" s="21"/>
      <c r="J335" s="22"/>
      <c r="K335" s="22"/>
      <c r="L335" s="23">
        <f t="shared" si="431"/>
        <v>0</v>
      </c>
      <c r="M335" s="22">
        <f t="shared" si="432"/>
        <v>0</v>
      </c>
      <c r="N335" s="24">
        <v>5</v>
      </c>
      <c r="O335" s="25">
        <v>1</v>
      </c>
      <c r="P335" s="25">
        <f t="shared" si="540"/>
        <v>0</v>
      </c>
      <c r="Q335" s="26"/>
      <c r="R335" s="26"/>
      <c r="S335" s="26"/>
      <c r="T335" s="27"/>
      <c r="U335" s="28">
        <f t="shared" si="434"/>
        <v>0</v>
      </c>
      <c r="V335" s="22"/>
      <c r="W335" s="22"/>
      <c r="X335" s="40"/>
      <c r="Y335" s="22"/>
      <c r="Z335" s="40"/>
      <c r="AA335" s="40"/>
      <c r="AB335" s="40"/>
      <c r="AC335" s="84" t="str">
        <f t="shared" si="528"/>
        <v/>
      </c>
      <c r="AD335" s="85" t="str">
        <f t="shared" si="529"/>
        <v/>
      </c>
      <c r="AE335" s="85" t="str">
        <f t="shared" si="530"/>
        <v/>
      </c>
    </row>
    <row r="336" spans="1:31" ht="14.25" customHeight="1" x14ac:dyDescent="0.2">
      <c r="A336" s="33">
        <f t="shared" ref="A336:B336" si="543">+A335</f>
        <v>44221</v>
      </c>
      <c r="B336" s="34">
        <f t="shared" si="543"/>
        <v>5</v>
      </c>
      <c r="C336" s="63">
        <f t="shared" si="430"/>
        <v>44221</v>
      </c>
      <c r="D336" s="19">
        <v>195</v>
      </c>
      <c r="E336" s="20"/>
      <c r="F336" s="21"/>
      <c r="G336" s="22"/>
      <c r="H336" s="22"/>
      <c r="I336" s="21"/>
      <c r="J336" s="22"/>
      <c r="K336" s="22"/>
      <c r="L336" s="23">
        <f t="shared" si="431"/>
        <v>0</v>
      </c>
      <c r="M336" s="22">
        <f t="shared" si="432"/>
        <v>0</v>
      </c>
      <c r="N336" s="24">
        <v>5</v>
      </c>
      <c r="O336" s="25">
        <v>1</v>
      </c>
      <c r="P336" s="25">
        <f t="shared" si="540"/>
        <v>0</v>
      </c>
      <c r="Q336" s="26"/>
      <c r="R336" s="26"/>
      <c r="S336" s="26"/>
      <c r="T336" s="27"/>
      <c r="U336" s="28">
        <f t="shared" si="434"/>
        <v>0</v>
      </c>
      <c r="V336" s="22"/>
      <c r="W336" s="22"/>
      <c r="X336" s="40"/>
      <c r="Y336" s="22"/>
      <c r="Z336" s="40"/>
      <c r="AA336" s="40"/>
      <c r="AB336" s="40"/>
      <c r="AC336" s="84" t="str">
        <f t="shared" si="528"/>
        <v/>
      </c>
      <c r="AD336" s="85" t="str">
        <f t="shared" si="529"/>
        <v/>
      </c>
      <c r="AE336" s="85" t="str">
        <f t="shared" si="530"/>
        <v/>
      </c>
    </row>
    <row r="337" spans="1:31" ht="14.25" customHeight="1" x14ac:dyDescent="0.2">
      <c r="A337" s="17">
        <f t="shared" si="421"/>
        <v>44222</v>
      </c>
      <c r="B337" s="18">
        <f t="shared" si="422"/>
        <v>5</v>
      </c>
      <c r="C337" s="61">
        <f t="shared" ref="C337:C366" si="544">+A337</f>
        <v>44222</v>
      </c>
      <c r="D337" s="19">
        <v>196</v>
      </c>
      <c r="E337" s="20" t="s">
        <v>25</v>
      </c>
      <c r="F337" s="21">
        <v>44185.216122685197</v>
      </c>
      <c r="G337" s="22">
        <v>2023.7</v>
      </c>
      <c r="H337" s="22"/>
      <c r="I337" s="21">
        <v>44185.230416666702</v>
      </c>
      <c r="J337" s="22">
        <v>2027.2</v>
      </c>
      <c r="K337" s="22"/>
      <c r="L337" s="23">
        <f t="shared" ref="L337:L366" si="545">+I337-F337</f>
        <v>1.4293981505034026E-2</v>
      </c>
      <c r="M337" s="22">
        <f t="shared" ref="M337:M366" si="546">+IF(E337="buy",J337-G337,G337-J337)</f>
        <v>3.5</v>
      </c>
      <c r="N337" s="24">
        <v>5</v>
      </c>
      <c r="O337" s="25">
        <v>1</v>
      </c>
      <c r="P337" s="25">
        <f t="shared" ref="P337" si="547">+IF(J337&gt;0,O337*0.8,0)</f>
        <v>0.8</v>
      </c>
      <c r="Q337" s="26"/>
      <c r="R337" s="26"/>
      <c r="S337" s="26"/>
      <c r="T337" s="27"/>
      <c r="U337" s="83">
        <f t="shared" ref="U337:U366" si="548">+O337*N337*M337-P337</f>
        <v>16.7</v>
      </c>
      <c r="V337" s="22">
        <f t="shared" si="424"/>
        <v>16.7</v>
      </c>
      <c r="W337" s="74">
        <f>+Tabla1[[#This Row],[RESULTADO DEL DÍA]]+W332</f>
        <v>2648.2999999999961</v>
      </c>
      <c r="X337" s="22">
        <f>+X332+Tabla1[[#This Row],[Objetivo presupuestado]]</f>
        <v>3150</v>
      </c>
      <c r="Y337" s="22" t="str">
        <f t="shared" ref="Y337" si="549">IF(AF337=0,"0",10)</f>
        <v>0</v>
      </c>
      <c r="Z337" s="22" t="str">
        <f t="shared" ref="Z337" si="550">IF(AF337=0,"0",50)</f>
        <v>0</v>
      </c>
      <c r="AA337" s="27">
        <f t="shared" ref="AA337" si="551">+IFERROR(AF340/(AG340*-1),AF340)</f>
        <v>0</v>
      </c>
      <c r="AB337" s="75" t="str">
        <f t="shared" ref="AB337" si="552">+IFERROR(AF341/AF337,"0")</f>
        <v>0</v>
      </c>
      <c r="AC337" s="84">
        <f t="shared" si="528"/>
        <v>1</v>
      </c>
      <c r="AD337" s="85">
        <f t="shared" si="529"/>
        <v>3.5</v>
      </c>
      <c r="AE337" s="85" t="str">
        <f t="shared" si="530"/>
        <v/>
      </c>
    </row>
    <row r="338" spans="1:31" ht="14.25" customHeight="1" x14ac:dyDescent="0.2">
      <c r="A338" s="31">
        <f t="shared" ref="A338:B338" si="553">+A337</f>
        <v>44222</v>
      </c>
      <c r="B338" s="32">
        <f t="shared" si="553"/>
        <v>5</v>
      </c>
      <c r="C338" s="62">
        <f t="shared" si="544"/>
        <v>44222</v>
      </c>
      <c r="D338" s="19">
        <v>197</v>
      </c>
      <c r="E338" s="20"/>
      <c r="F338" s="21"/>
      <c r="G338" s="22"/>
      <c r="H338" s="22"/>
      <c r="I338" s="21"/>
      <c r="J338" s="22"/>
      <c r="K338" s="22"/>
      <c r="L338" s="23">
        <f t="shared" si="545"/>
        <v>0</v>
      </c>
      <c r="M338" s="22">
        <f t="shared" si="546"/>
        <v>0</v>
      </c>
      <c r="N338" s="24">
        <v>5</v>
      </c>
      <c r="O338" s="25">
        <v>1</v>
      </c>
      <c r="P338" s="25">
        <f t="shared" ref="P338:P341" si="554">+IF(J338&gt;0,O338*1,0)</f>
        <v>0</v>
      </c>
      <c r="Q338" s="26"/>
      <c r="R338" s="26"/>
      <c r="S338" s="26"/>
      <c r="T338" s="27"/>
      <c r="U338" s="28">
        <f t="shared" si="548"/>
        <v>0</v>
      </c>
      <c r="V338" s="22"/>
      <c r="W338" s="22"/>
      <c r="X338" s="40"/>
      <c r="Y338" s="22"/>
      <c r="Z338" s="40"/>
      <c r="AA338" s="73"/>
      <c r="AB338" s="73"/>
      <c r="AC338" s="84" t="str">
        <f t="shared" si="528"/>
        <v/>
      </c>
      <c r="AD338" s="85" t="str">
        <f t="shared" si="529"/>
        <v/>
      </c>
      <c r="AE338" s="85" t="str">
        <f t="shared" si="530"/>
        <v/>
      </c>
    </row>
    <row r="339" spans="1:31" ht="14.25" customHeight="1" x14ac:dyDescent="0.2">
      <c r="A339" s="31">
        <f t="shared" ref="A339:B339" si="555">+A338</f>
        <v>44222</v>
      </c>
      <c r="B339" s="32">
        <f t="shared" si="555"/>
        <v>5</v>
      </c>
      <c r="C339" s="62">
        <f t="shared" si="544"/>
        <v>44222</v>
      </c>
      <c r="D339" s="19">
        <v>198</v>
      </c>
      <c r="E339" s="20"/>
      <c r="F339" s="21"/>
      <c r="G339" s="22"/>
      <c r="H339" s="22"/>
      <c r="I339" s="21"/>
      <c r="J339" s="22"/>
      <c r="K339" s="22"/>
      <c r="L339" s="23">
        <f t="shared" si="545"/>
        <v>0</v>
      </c>
      <c r="M339" s="22">
        <f t="shared" si="546"/>
        <v>0</v>
      </c>
      <c r="N339" s="24">
        <v>5</v>
      </c>
      <c r="O339" s="25">
        <v>1</v>
      </c>
      <c r="P339" s="25">
        <f t="shared" si="554"/>
        <v>0</v>
      </c>
      <c r="Q339" s="26"/>
      <c r="R339" s="26"/>
      <c r="S339" s="26"/>
      <c r="T339" s="27"/>
      <c r="U339" s="28">
        <f t="shared" si="548"/>
        <v>0</v>
      </c>
      <c r="V339" s="22"/>
      <c r="W339" s="22"/>
      <c r="X339" s="40"/>
      <c r="Y339" s="22"/>
      <c r="Z339" s="40"/>
      <c r="AA339" s="40"/>
      <c r="AB339" s="40"/>
      <c r="AC339" s="84" t="str">
        <f t="shared" si="528"/>
        <v/>
      </c>
      <c r="AD339" s="85" t="str">
        <f t="shared" si="529"/>
        <v/>
      </c>
      <c r="AE339" s="85" t="str">
        <f t="shared" si="530"/>
        <v/>
      </c>
    </row>
    <row r="340" spans="1:31" ht="14.25" customHeight="1" x14ac:dyDescent="0.2">
      <c r="A340" s="31">
        <f t="shared" ref="A340:B340" si="556">+A339</f>
        <v>44222</v>
      </c>
      <c r="B340" s="32">
        <f t="shared" si="556"/>
        <v>5</v>
      </c>
      <c r="C340" s="62">
        <f t="shared" si="544"/>
        <v>44222</v>
      </c>
      <c r="D340" s="19">
        <v>199</v>
      </c>
      <c r="E340" s="20"/>
      <c r="F340" s="21"/>
      <c r="G340" s="22"/>
      <c r="H340" s="22"/>
      <c r="I340" s="21"/>
      <c r="J340" s="22"/>
      <c r="K340" s="22"/>
      <c r="L340" s="23">
        <f t="shared" si="545"/>
        <v>0</v>
      </c>
      <c r="M340" s="22">
        <f t="shared" si="546"/>
        <v>0</v>
      </c>
      <c r="N340" s="24">
        <v>5</v>
      </c>
      <c r="O340" s="25">
        <v>1</v>
      </c>
      <c r="P340" s="25">
        <f t="shared" si="554"/>
        <v>0</v>
      </c>
      <c r="Q340" s="26"/>
      <c r="R340" s="26"/>
      <c r="S340" s="26"/>
      <c r="T340" s="27"/>
      <c r="U340" s="28">
        <f t="shared" si="548"/>
        <v>0</v>
      </c>
      <c r="V340" s="22"/>
      <c r="W340" s="22"/>
      <c r="X340" s="40"/>
      <c r="Y340" s="22"/>
      <c r="Z340" s="40"/>
      <c r="AA340" s="40"/>
      <c r="AB340" s="40"/>
      <c r="AC340" s="84" t="str">
        <f t="shared" si="528"/>
        <v/>
      </c>
      <c r="AD340" s="85" t="str">
        <f t="shared" si="529"/>
        <v/>
      </c>
      <c r="AE340" s="85" t="str">
        <f t="shared" si="530"/>
        <v/>
      </c>
    </row>
    <row r="341" spans="1:31" ht="14.25" customHeight="1" x14ac:dyDescent="0.2">
      <c r="A341" s="33">
        <f t="shared" ref="A341:B341" si="557">+A340</f>
        <v>44222</v>
      </c>
      <c r="B341" s="34">
        <f t="shared" si="557"/>
        <v>5</v>
      </c>
      <c r="C341" s="63">
        <f t="shared" si="544"/>
        <v>44222</v>
      </c>
      <c r="D341" s="19">
        <v>200</v>
      </c>
      <c r="E341" s="20"/>
      <c r="F341" s="21"/>
      <c r="G341" s="22"/>
      <c r="H341" s="22"/>
      <c r="I341" s="21"/>
      <c r="J341" s="22"/>
      <c r="K341" s="22"/>
      <c r="L341" s="23">
        <f t="shared" si="545"/>
        <v>0</v>
      </c>
      <c r="M341" s="22">
        <f t="shared" si="546"/>
        <v>0</v>
      </c>
      <c r="N341" s="24">
        <v>5</v>
      </c>
      <c r="O341" s="25">
        <v>1</v>
      </c>
      <c r="P341" s="25">
        <f t="shared" si="554"/>
        <v>0</v>
      </c>
      <c r="Q341" s="26"/>
      <c r="R341" s="26"/>
      <c r="S341" s="26"/>
      <c r="T341" s="27"/>
      <c r="U341" s="28">
        <f t="shared" si="548"/>
        <v>0</v>
      </c>
      <c r="V341" s="22"/>
      <c r="W341" s="22"/>
      <c r="X341" s="40"/>
      <c r="Y341" s="22"/>
      <c r="Z341" s="40"/>
      <c r="AA341" s="40"/>
      <c r="AB341" s="40"/>
      <c r="AC341" s="84" t="str">
        <f t="shared" ref="AC341:AC366" si="558">+IF(J341&gt;0,1,"")</f>
        <v/>
      </c>
      <c r="AD341" s="85" t="str">
        <f t="shared" ref="AD341:AD366" si="559">+IF(M341&gt;0,M341,"")</f>
        <v/>
      </c>
      <c r="AE341" s="85" t="str">
        <f t="shared" ref="AE341:AE366" si="560">+IF(M341&lt;0,M341,"")</f>
        <v/>
      </c>
    </row>
    <row r="342" spans="1:31" ht="14.25" customHeight="1" x14ac:dyDescent="0.2">
      <c r="A342" s="17">
        <f t="shared" si="421"/>
        <v>44223</v>
      </c>
      <c r="B342" s="18">
        <f t="shared" si="422"/>
        <v>5</v>
      </c>
      <c r="C342" s="61">
        <f t="shared" si="544"/>
        <v>44223</v>
      </c>
      <c r="D342" s="19">
        <v>201</v>
      </c>
      <c r="E342" s="20" t="s">
        <v>25</v>
      </c>
      <c r="F342" s="21">
        <v>44185.257789351803</v>
      </c>
      <c r="G342" s="22">
        <v>2024.7</v>
      </c>
      <c r="H342" s="22"/>
      <c r="I342" s="21">
        <v>44185.272083333301</v>
      </c>
      <c r="J342" s="22">
        <v>2028.2</v>
      </c>
      <c r="K342" s="22"/>
      <c r="L342" s="23">
        <f t="shared" si="545"/>
        <v>1.4293981497758068E-2</v>
      </c>
      <c r="M342" s="22">
        <f t="shared" si="546"/>
        <v>3.5</v>
      </c>
      <c r="N342" s="24">
        <v>5</v>
      </c>
      <c r="O342" s="25">
        <v>1</v>
      </c>
      <c r="P342" s="25">
        <f t="shared" ref="P342" si="561">+IF(J342&gt;0,O342*0.8,0)</f>
        <v>0.8</v>
      </c>
      <c r="Q342" s="26"/>
      <c r="R342" s="26"/>
      <c r="S342" s="26"/>
      <c r="T342" s="27"/>
      <c r="U342" s="83">
        <f t="shared" si="548"/>
        <v>16.7</v>
      </c>
      <c r="V342" s="22">
        <f t="shared" si="424"/>
        <v>16.7</v>
      </c>
      <c r="W342" s="74">
        <f>+Tabla1[[#This Row],[RESULTADO DEL DÍA]]+W337</f>
        <v>2664.9999999999959</v>
      </c>
      <c r="X342" s="22">
        <f>+X337+Tabla1[[#This Row],[Objetivo presupuestado]]</f>
        <v>3150</v>
      </c>
      <c r="Y342" s="22" t="str">
        <f t="shared" ref="Y342" si="562">IF(AF342=0,"0",10)</f>
        <v>0</v>
      </c>
      <c r="Z342" s="22" t="str">
        <f t="shared" ref="Z342" si="563">IF(AF342=0,"0",50)</f>
        <v>0</v>
      </c>
      <c r="AA342" s="27">
        <f t="shared" ref="AA342" si="564">+IFERROR(AF345/(AG345*-1),AF345)</f>
        <v>0</v>
      </c>
      <c r="AB342" s="75" t="str">
        <f t="shared" ref="AB342" si="565">+IFERROR(AF346/AF342,"0")</f>
        <v>0</v>
      </c>
      <c r="AC342" s="84">
        <f t="shared" si="558"/>
        <v>1</v>
      </c>
      <c r="AD342" s="85">
        <f t="shared" si="559"/>
        <v>3.5</v>
      </c>
      <c r="AE342" s="85" t="str">
        <f t="shared" si="560"/>
        <v/>
      </c>
    </row>
    <row r="343" spans="1:31" ht="14.25" customHeight="1" x14ac:dyDescent="0.2">
      <c r="A343" s="31">
        <f t="shared" ref="A343:B343" si="566">+A342</f>
        <v>44223</v>
      </c>
      <c r="B343" s="32">
        <f t="shared" si="566"/>
        <v>5</v>
      </c>
      <c r="C343" s="62">
        <f t="shared" si="544"/>
        <v>44223</v>
      </c>
      <c r="D343" s="19">
        <v>202</v>
      </c>
      <c r="E343" s="20"/>
      <c r="F343" s="21"/>
      <c r="G343" s="22"/>
      <c r="H343" s="22"/>
      <c r="I343" s="21"/>
      <c r="J343" s="22"/>
      <c r="K343" s="22"/>
      <c r="L343" s="23">
        <f t="shared" si="545"/>
        <v>0</v>
      </c>
      <c r="M343" s="22">
        <f t="shared" si="546"/>
        <v>0</v>
      </c>
      <c r="N343" s="24">
        <v>5</v>
      </c>
      <c r="O343" s="25">
        <v>1</v>
      </c>
      <c r="P343" s="25">
        <f t="shared" ref="P343:P346" si="567">+IF(J343&gt;0,O343*1,0)</f>
        <v>0</v>
      </c>
      <c r="Q343" s="26"/>
      <c r="R343" s="26"/>
      <c r="S343" s="26"/>
      <c r="T343" s="27"/>
      <c r="U343" s="28">
        <f t="shared" si="548"/>
        <v>0</v>
      </c>
      <c r="V343" s="22"/>
      <c r="W343" s="22"/>
      <c r="X343" s="40"/>
      <c r="Y343" s="22"/>
      <c r="Z343" s="40"/>
      <c r="AA343" s="73"/>
      <c r="AB343" s="73"/>
      <c r="AC343" s="84" t="str">
        <f t="shared" si="558"/>
        <v/>
      </c>
      <c r="AD343" s="85" t="str">
        <f t="shared" si="559"/>
        <v/>
      </c>
      <c r="AE343" s="85" t="str">
        <f t="shared" si="560"/>
        <v/>
      </c>
    </row>
    <row r="344" spans="1:31" ht="14.25" customHeight="1" x14ac:dyDescent="0.2">
      <c r="A344" s="31">
        <f t="shared" ref="A344:B344" si="568">+A343</f>
        <v>44223</v>
      </c>
      <c r="B344" s="32">
        <f t="shared" si="568"/>
        <v>5</v>
      </c>
      <c r="C344" s="62">
        <f t="shared" si="544"/>
        <v>44223</v>
      </c>
      <c r="D344" s="19">
        <v>203</v>
      </c>
      <c r="E344" s="20"/>
      <c r="F344" s="21"/>
      <c r="G344" s="22"/>
      <c r="H344" s="22"/>
      <c r="I344" s="21"/>
      <c r="J344" s="22"/>
      <c r="K344" s="22"/>
      <c r="L344" s="23">
        <f t="shared" si="545"/>
        <v>0</v>
      </c>
      <c r="M344" s="22">
        <f t="shared" si="546"/>
        <v>0</v>
      </c>
      <c r="N344" s="24">
        <v>5</v>
      </c>
      <c r="O344" s="25">
        <v>1</v>
      </c>
      <c r="P344" s="25">
        <f t="shared" si="567"/>
        <v>0</v>
      </c>
      <c r="Q344" s="26"/>
      <c r="R344" s="26"/>
      <c r="S344" s="26"/>
      <c r="T344" s="27"/>
      <c r="U344" s="28">
        <f t="shared" si="548"/>
        <v>0</v>
      </c>
      <c r="V344" s="22"/>
      <c r="W344" s="22"/>
      <c r="X344" s="40"/>
      <c r="Y344" s="22"/>
      <c r="Z344" s="40"/>
      <c r="AA344" s="40"/>
      <c r="AB344" s="40"/>
      <c r="AC344" s="84" t="str">
        <f t="shared" si="558"/>
        <v/>
      </c>
      <c r="AD344" s="85" t="str">
        <f t="shared" si="559"/>
        <v/>
      </c>
      <c r="AE344" s="85" t="str">
        <f t="shared" si="560"/>
        <v/>
      </c>
    </row>
    <row r="345" spans="1:31" ht="14.25" customHeight="1" x14ac:dyDescent="0.2">
      <c r="A345" s="31">
        <f t="shared" ref="A345:B345" si="569">+A344</f>
        <v>44223</v>
      </c>
      <c r="B345" s="32">
        <f t="shared" si="569"/>
        <v>5</v>
      </c>
      <c r="C345" s="62">
        <f t="shared" si="544"/>
        <v>44223</v>
      </c>
      <c r="D345" s="19">
        <v>204</v>
      </c>
      <c r="E345" s="20"/>
      <c r="F345" s="21"/>
      <c r="G345" s="22"/>
      <c r="H345" s="22"/>
      <c r="I345" s="21"/>
      <c r="J345" s="22"/>
      <c r="K345" s="22"/>
      <c r="L345" s="23">
        <f t="shared" si="545"/>
        <v>0</v>
      </c>
      <c r="M345" s="22">
        <f t="shared" si="546"/>
        <v>0</v>
      </c>
      <c r="N345" s="24">
        <v>5</v>
      </c>
      <c r="O345" s="25">
        <v>1</v>
      </c>
      <c r="P345" s="25">
        <f t="shared" si="567"/>
        <v>0</v>
      </c>
      <c r="Q345" s="26"/>
      <c r="R345" s="26"/>
      <c r="S345" s="26"/>
      <c r="T345" s="27"/>
      <c r="U345" s="28">
        <f t="shared" si="548"/>
        <v>0</v>
      </c>
      <c r="V345" s="22"/>
      <c r="W345" s="22"/>
      <c r="X345" s="40"/>
      <c r="Y345" s="22"/>
      <c r="Z345" s="40"/>
      <c r="AA345" s="40"/>
      <c r="AB345" s="40"/>
      <c r="AC345" s="84" t="str">
        <f t="shared" si="558"/>
        <v/>
      </c>
      <c r="AD345" s="85" t="str">
        <f t="shared" si="559"/>
        <v/>
      </c>
      <c r="AE345" s="85" t="str">
        <f t="shared" si="560"/>
        <v/>
      </c>
    </row>
    <row r="346" spans="1:31" ht="14.25" customHeight="1" x14ac:dyDescent="0.2">
      <c r="A346" s="33">
        <f t="shared" ref="A346:B346" si="570">+A345</f>
        <v>44223</v>
      </c>
      <c r="B346" s="34">
        <f t="shared" si="570"/>
        <v>5</v>
      </c>
      <c r="C346" s="63">
        <f t="shared" si="544"/>
        <v>44223</v>
      </c>
      <c r="D346" s="19">
        <v>205</v>
      </c>
      <c r="E346" s="20"/>
      <c r="F346" s="21"/>
      <c r="G346" s="22"/>
      <c r="H346" s="22"/>
      <c r="I346" s="21"/>
      <c r="J346" s="22"/>
      <c r="K346" s="22"/>
      <c r="L346" s="23">
        <f t="shared" si="545"/>
        <v>0</v>
      </c>
      <c r="M346" s="22">
        <f t="shared" si="546"/>
        <v>0</v>
      </c>
      <c r="N346" s="24">
        <v>5</v>
      </c>
      <c r="O346" s="25">
        <v>1</v>
      </c>
      <c r="P346" s="25">
        <f t="shared" si="567"/>
        <v>0</v>
      </c>
      <c r="Q346" s="26"/>
      <c r="R346" s="26"/>
      <c r="S346" s="26"/>
      <c r="T346" s="27"/>
      <c r="U346" s="28">
        <f t="shared" si="548"/>
        <v>0</v>
      </c>
      <c r="V346" s="22"/>
      <c r="W346" s="22"/>
      <c r="X346" s="40"/>
      <c r="Y346" s="22"/>
      <c r="Z346" s="40"/>
      <c r="AA346" s="40"/>
      <c r="AB346" s="40"/>
      <c r="AC346" s="84" t="str">
        <f t="shared" si="558"/>
        <v/>
      </c>
      <c r="AD346" s="85" t="str">
        <f t="shared" si="559"/>
        <v/>
      </c>
      <c r="AE346" s="85" t="str">
        <f t="shared" si="560"/>
        <v/>
      </c>
    </row>
    <row r="347" spans="1:31" ht="14.25" customHeight="1" x14ac:dyDescent="0.2">
      <c r="A347" s="17">
        <f t="shared" ref="A347:A362" si="571">+A342+1</f>
        <v>44224</v>
      </c>
      <c r="B347" s="18">
        <f t="shared" ref="B347:B362" si="572">WEEKNUM(A347,2)</f>
        <v>5</v>
      </c>
      <c r="C347" s="61">
        <f t="shared" si="544"/>
        <v>44224</v>
      </c>
      <c r="D347" s="19">
        <v>206</v>
      </c>
      <c r="E347" s="20" t="s">
        <v>25</v>
      </c>
      <c r="F347" s="21">
        <v>44185.299456018503</v>
      </c>
      <c r="G347" s="22">
        <v>2025.7</v>
      </c>
      <c r="H347" s="22"/>
      <c r="I347" s="21">
        <v>44185.313750000001</v>
      </c>
      <c r="J347" s="22">
        <v>2029.2</v>
      </c>
      <c r="K347" s="22"/>
      <c r="L347" s="23">
        <f t="shared" si="545"/>
        <v>1.4293981497758068E-2</v>
      </c>
      <c r="M347" s="22">
        <f t="shared" si="546"/>
        <v>3.5</v>
      </c>
      <c r="N347" s="24">
        <v>5</v>
      </c>
      <c r="O347" s="25">
        <v>1</v>
      </c>
      <c r="P347" s="25">
        <f t="shared" ref="P347" si="573">+IF(J347&gt;0,O347*0.8,0)</f>
        <v>0.8</v>
      </c>
      <c r="Q347" s="26"/>
      <c r="R347" s="26"/>
      <c r="S347" s="26"/>
      <c r="T347" s="27"/>
      <c r="U347" s="83">
        <f t="shared" si="548"/>
        <v>16.7</v>
      </c>
      <c r="V347" s="22">
        <f t="shared" ref="V347:V362" si="574">SUM(U347:U351)</f>
        <v>16.7</v>
      </c>
      <c r="W347" s="74">
        <f>+Tabla1[[#This Row],[RESULTADO DEL DÍA]]+W342</f>
        <v>2681.6999999999957</v>
      </c>
      <c r="X347" s="22">
        <f>+X342+Tabla1[[#This Row],[Objetivo presupuestado]]</f>
        <v>3150</v>
      </c>
      <c r="Y347" s="22" t="str">
        <f t="shared" ref="Y347" si="575">IF(AF347=0,"0",10)</f>
        <v>0</v>
      </c>
      <c r="Z347" s="22" t="str">
        <f t="shared" ref="Z347" si="576">IF(AF347=0,"0",50)</f>
        <v>0</v>
      </c>
      <c r="AA347" s="27">
        <f t="shared" ref="AA347" si="577">+IFERROR(AF350/(AG350*-1),AF350)</f>
        <v>0</v>
      </c>
      <c r="AB347" s="75" t="str">
        <f t="shared" ref="AB347" si="578">+IFERROR(AF351/AF347,"0")</f>
        <v>0</v>
      </c>
      <c r="AC347" s="84">
        <f t="shared" si="558"/>
        <v>1</v>
      </c>
      <c r="AD347" s="85">
        <f t="shared" si="559"/>
        <v>3.5</v>
      </c>
      <c r="AE347" s="85" t="str">
        <f t="shared" si="560"/>
        <v/>
      </c>
    </row>
    <row r="348" spans="1:31" ht="14.25" customHeight="1" x14ac:dyDescent="0.2">
      <c r="A348" s="31">
        <f t="shared" ref="A348:B348" si="579">+A347</f>
        <v>44224</v>
      </c>
      <c r="B348" s="32">
        <f t="shared" si="579"/>
        <v>5</v>
      </c>
      <c r="C348" s="62">
        <f t="shared" si="544"/>
        <v>44224</v>
      </c>
      <c r="D348" s="19">
        <v>207</v>
      </c>
      <c r="E348" s="20"/>
      <c r="F348" s="21"/>
      <c r="G348" s="22"/>
      <c r="H348" s="22"/>
      <c r="I348" s="21"/>
      <c r="J348" s="22"/>
      <c r="K348" s="22"/>
      <c r="L348" s="23">
        <f t="shared" si="545"/>
        <v>0</v>
      </c>
      <c r="M348" s="22">
        <f t="shared" si="546"/>
        <v>0</v>
      </c>
      <c r="N348" s="24">
        <v>5</v>
      </c>
      <c r="O348" s="25">
        <v>1</v>
      </c>
      <c r="P348" s="25">
        <f t="shared" ref="P348:P351" si="580">+IF(J348&gt;0,O348*1,0)</f>
        <v>0</v>
      </c>
      <c r="Q348" s="26"/>
      <c r="R348" s="26"/>
      <c r="S348" s="26"/>
      <c r="T348" s="27"/>
      <c r="U348" s="28">
        <f t="shared" si="548"/>
        <v>0</v>
      </c>
      <c r="V348" s="22"/>
      <c r="W348" s="22"/>
      <c r="X348" s="40"/>
      <c r="Y348" s="22"/>
      <c r="Z348" s="40"/>
      <c r="AA348" s="73"/>
      <c r="AB348" s="73"/>
      <c r="AC348" s="84" t="str">
        <f t="shared" si="558"/>
        <v/>
      </c>
      <c r="AD348" s="85" t="str">
        <f t="shared" si="559"/>
        <v/>
      </c>
      <c r="AE348" s="85" t="str">
        <f t="shared" si="560"/>
        <v/>
      </c>
    </row>
    <row r="349" spans="1:31" ht="14.25" customHeight="1" x14ac:dyDescent="0.2">
      <c r="A349" s="31">
        <f t="shared" ref="A349:B349" si="581">+A348</f>
        <v>44224</v>
      </c>
      <c r="B349" s="32">
        <f t="shared" si="581"/>
        <v>5</v>
      </c>
      <c r="C349" s="62">
        <f t="shared" si="544"/>
        <v>44224</v>
      </c>
      <c r="D349" s="19">
        <v>208</v>
      </c>
      <c r="E349" s="20"/>
      <c r="F349" s="21"/>
      <c r="G349" s="22"/>
      <c r="H349" s="22"/>
      <c r="I349" s="21"/>
      <c r="J349" s="22"/>
      <c r="K349" s="22"/>
      <c r="L349" s="23">
        <f t="shared" si="545"/>
        <v>0</v>
      </c>
      <c r="M349" s="22">
        <f t="shared" si="546"/>
        <v>0</v>
      </c>
      <c r="N349" s="24">
        <v>5</v>
      </c>
      <c r="O349" s="25">
        <v>1</v>
      </c>
      <c r="P349" s="25">
        <f t="shared" si="580"/>
        <v>0</v>
      </c>
      <c r="Q349" s="26"/>
      <c r="R349" s="26"/>
      <c r="S349" s="26"/>
      <c r="T349" s="27"/>
      <c r="U349" s="28">
        <f t="shared" si="548"/>
        <v>0</v>
      </c>
      <c r="V349" s="22"/>
      <c r="W349" s="22"/>
      <c r="X349" s="40"/>
      <c r="Y349" s="22"/>
      <c r="Z349" s="40"/>
      <c r="AA349" s="40"/>
      <c r="AB349" s="40"/>
      <c r="AC349" s="84" t="str">
        <f t="shared" si="558"/>
        <v/>
      </c>
      <c r="AD349" s="85" t="str">
        <f t="shared" si="559"/>
        <v/>
      </c>
      <c r="AE349" s="85" t="str">
        <f t="shared" si="560"/>
        <v/>
      </c>
    </row>
    <row r="350" spans="1:31" ht="14.25" customHeight="1" x14ac:dyDescent="0.2">
      <c r="A350" s="31">
        <f t="shared" ref="A350:B350" si="582">+A349</f>
        <v>44224</v>
      </c>
      <c r="B350" s="32">
        <f t="shared" si="582"/>
        <v>5</v>
      </c>
      <c r="C350" s="62">
        <f t="shared" si="544"/>
        <v>44224</v>
      </c>
      <c r="D350" s="19">
        <v>209</v>
      </c>
      <c r="E350" s="20"/>
      <c r="F350" s="21"/>
      <c r="G350" s="22"/>
      <c r="H350" s="22"/>
      <c r="I350" s="21"/>
      <c r="J350" s="22"/>
      <c r="K350" s="22"/>
      <c r="L350" s="23">
        <f t="shared" si="545"/>
        <v>0</v>
      </c>
      <c r="M350" s="22">
        <f t="shared" si="546"/>
        <v>0</v>
      </c>
      <c r="N350" s="24">
        <v>5</v>
      </c>
      <c r="O350" s="25">
        <v>1</v>
      </c>
      <c r="P350" s="25">
        <f t="shared" si="580"/>
        <v>0</v>
      </c>
      <c r="Q350" s="26"/>
      <c r="R350" s="26"/>
      <c r="S350" s="26"/>
      <c r="T350" s="27"/>
      <c r="U350" s="28">
        <f t="shared" si="548"/>
        <v>0</v>
      </c>
      <c r="V350" s="22"/>
      <c r="W350" s="22"/>
      <c r="X350" s="40"/>
      <c r="Y350" s="22"/>
      <c r="Z350" s="40"/>
      <c r="AA350" s="40"/>
      <c r="AB350" s="40"/>
      <c r="AC350" s="84" t="str">
        <f t="shared" si="558"/>
        <v/>
      </c>
      <c r="AD350" s="85" t="str">
        <f t="shared" si="559"/>
        <v/>
      </c>
      <c r="AE350" s="85" t="str">
        <f t="shared" si="560"/>
        <v/>
      </c>
    </row>
    <row r="351" spans="1:31" ht="14.25" customHeight="1" x14ac:dyDescent="0.2">
      <c r="A351" s="33">
        <f t="shared" ref="A351:B351" si="583">+A350</f>
        <v>44224</v>
      </c>
      <c r="B351" s="34">
        <f t="shared" si="583"/>
        <v>5</v>
      </c>
      <c r="C351" s="63">
        <f t="shared" si="544"/>
        <v>44224</v>
      </c>
      <c r="D351" s="19">
        <v>210</v>
      </c>
      <c r="E351" s="20"/>
      <c r="F351" s="21"/>
      <c r="G351" s="22"/>
      <c r="H351" s="22"/>
      <c r="I351" s="21"/>
      <c r="J351" s="22"/>
      <c r="K351" s="22"/>
      <c r="L351" s="23">
        <f t="shared" si="545"/>
        <v>0</v>
      </c>
      <c r="M351" s="22">
        <f t="shared" si="546"/>
        <v>0</v>
      </c>
      <c r="N351" s="24">
        <v>5</v>
      </c>
      <c r="O351" s="25">
        <v>1</v>
      </c>
      <c r="P351" s="25">
        <f t="shared" si="580"/>
        <v>0</v>
      </c>
      <c r="Q351" s="26"/>
      <c r="R351" s="26"/>
      <c r="S351" s="26"/>
      <c r="T351" s="27"/>
      <c r="U351" s="28">
        <f t="shared" si="548"/>
        <v>0</v>
      </c>
      <c r="V351" s="22"/>
      <c r="W351" s="22"/>
      <c r="X351" s="40"/>
      <c r="Y351" s="22"/>
      <c r="Z351" s="40"/>
      <c r="AA351" s="40"/>
      <c r="AB351" s="40"/>
      <c r="AC351" s="84" t="str">
        <f t="shared" si="558"/>
        <v/>
      </c>
      <c r="AD351" s="85" t="str">
        <f t="shared" si="559"/>
        <v/>
      </c>
      <c r="AE351" s="85" t="str">
        <f t="shared" si="560"/>
        <v/>
      </c>
    </row>
    <row r="352" spans="1:31" ht="14.25" customHeight="1" x14ac:dyDescent="0.2">
      <c r="A352" s="17">
        <f t="shared" si="571"/>
        <v>44225</v>
      </c>
      <c r="B352" s="18">
        <f t="shared" si="572"/>
        <v>5</v>
      </c>
      <c r="C352" s="61">
        <f t="shared" si="544"/>
        <v>44225</v>
      </c>
      <c r="D352" s="19">
        <v>211</v>
      </c>
      <c r="E352" s="20" t="s">
        <v>25</v>
      </c>
      <c r="F352" s="21">
        <v>44185.341122685197</v>
      </c>
      <c r="G352" s="22">
        <v>2026.7</v>
      </c>
      <c r="H352" s="22"/>
      <c r="I352" s="21">
        <v>44185.355416666702</v>
      </c>
      <c r="J352" s="22">
        <v>2030.2</v>
      </c>
      <c r="K352" s="22"/>
      <c r="L352" s="23">
        <f t="shared" si="545"/>
        <v>1.4293981505034026E-2</v>
      </c>
      <c r="M352" s="22">
        <f t="shared" si="546"/>
        <v>3.5</v>
      </c>
      <c r="N352" s="24">
        <v>5</v>
      </c>
      <c r="O352" s="25">
        <v>1</v>
      </c>
      <c r="P352" s="25">
        <f t="shared" ref="P352" si="584">+IF(J352&gt;0,O352*0.8,0)</f>
        <v>0.8</v>
      </c>
      <c r="Q352" s="26"/>
      <c r="R352" s="26"/>
      <c r="S352" s="26"/>
      <c r="T352" s="27"/>
      <c r="U352" s="83">
        <f t="shared" si="548"/>
        <v>16.7</v>
      </c>
      <c r="V352" s="22">
        <f t="shared" si="574"/>
        <v>16.7</v>
      </c>
      <c r="W352" s="74">
        <f>+Tabla1[[#This Row],[RESULTADO DEL DÍA]]+W347</f>
        <v>2698.3999999999955</v>
      </c>
      <c r="X352" s="22">
        <f>+X347+Tabla1[[#This Row],[Objetivo presupuestado]]</f>
        <v>3150</v>
      </c>
      <c r="Y352" s="22" t="str">
        <f t="shared" ref="Y352" si="585">IF(AF352=0,"0",10)</f>
        <v>0</v>
      </c>
      <c r="Z352" s="22" t="str">
        <f t="shared" ref="Z352" si="586">IF(AF352=0,"0",50)</f>
        <v>0</v>
      </c>
      <c r="AA352" s="27">
        <f t="shared" ref="AA352" si="587">+IFERROR(AF355/(AG355*-1),AF355)</f>
        <v>0</v>
      </c>
      <c r="AB352" s="75" t="str">
        <f t="shared" ref="AB352" si="588">+IFERROR(AF356/AF352,"0")</f>
        <v>0</v>
      </c>
      <c r="AC352" s="84">
        <f t="shared" si="558"/>
        <v>1</v>
      </c>
      <c r="AD352" s="85">
        <f t="shared" si="559"/>
        <v>3.5</v>
      </c>
      <c r="AE352" s="85" t="str">
        <f t="shared" si="560"/>
        <v/>
      </c>
    </row>
    <row r="353" spans="1:31" ht="14.25" customHeight="1" x14ac:dyDescent="0.2">
      <c r="A353" s="31">
        <f t="shared" ref="A353:B353" si="589">+A352</f>
        <v>44225</v>
      </c>
      <c r="B353" s="32">
        <f t="shared" si="589"/>
        <v>5</v>
      </c>
      <c r="C353" s="62">
        <f t="shared" si="544"/>
        <v>44225</v>
      </c>
      <c r="D353" s="19">
        <v>212</v>
      </c>
      <c r="E353" s="20"/>
      <c r="F353" s="21"/>
      <c r="G353" s="22"/>
      <c r="H353" s="22"/>
      <c r="I353" s="21"/>
      <c r="J353" s="22"/>
      <c r="K353" s="22"/>
      <c r="L353" s="23">
        <f t="shared" si="545"/>
        <v>0</v>
      </c>
      <c r="M353" s="22">
        <f t="shared" si="546"/>
        <v>0</v>
      </c>
      <c r="N353" s="24">
        <v>5</v>
      </c>
      <c r="O353" s="25">
        <v>1</v>
      </c>
      <c r="P353" s="25">
        <f t="shared" ref="P353:P356" si="590">+IF(J353&gt;0,O353*1,0)</f>
        <v>0</v>
      </c>
      <c r="Q353" s="26"/>
      <c r="R353" s="26"/>
      <c r="S353" s="26"/>
      <c r="T353" s="27"/>
      <c r="U353" s="28">
        <f t="shared" si="548"/>
        <v>0</v>
      </c>
      <c r="V353" s="22"/>
      <c r="W353" s="22"/>
      <c r="X353" s="40"/>
      <c r="Y353" s="22"/>
      <c r="Z353" s="40"/>
      <c r="AA353" s="73"/>
      <c r="AB353" s="73"/>
      <c r="AC353" s="84" t="str">
        <f t="shared" si="558"/>
        <v/>
      </c>
      <c r="AD353" s="85" t="str">
        <f t="shared" si="559"/>
        <v/>
      </c>
      <c r="AE353" s="85" t="str">
        <f t="shared" si="560"/>
        <v/>
      </c>
    </row>
    <row r="354" spans="1:31" ht="14.25" customHeight="1" x14ac:dyDescent="0.2">
      <c r="A354" s="31">
        <f t="shared" ref="A354:B354" si="591">+A353</f>
        <v>44225</v>
      </c>
      <c r="B354" s="32">
        <f t="shared" si="591"/>
        <v>5</v>
      </c>
      <c r="C354" s="62">
        <f t="shared" si="544"/>
        <v>44225</v>
      </c>
      <c r="D354" s="19">
        <v>213</v>
      </c>
      <c r="E354" s="20"/>
      <c r="F354" s="21"/>
      <c r="G354" s="22"/>
      <c r="H354" s="22"/>
      <c r="I354" s="21"/>
      <c r="J354" s="22"/>
      <c r="K354" s="22"/>
      <c r="L354" s="23">
        <f t="shared" si="545"/>
        <v>0</v>
      </c>
      <c r="M354" s="22">
        <f t="shared" si="546"/>
        <v>0</v>
      </c>
      <c r="N354" s="24">
        <v>5</v>
      </c>
      <c r="O354" s="25">
        <v>1</v>
      </c>
      <c r="P354" s="25">
        <f t="shared" si="590"/>
        <v>0</v>
      </c>
      <c r="Q354" s="26"/>
      <c r="R354" s="26"/>
      <c r="S354" s="26"/>
      <c r="T354" s="27"/>
      <c r="U354" s="28">
        <f t="shared" si="548"/>
        <v>0</v>
      </c>
      <c r="V354" s="22"/>
      <c r="W354" s="22"/>
      <c r="X354" s="40"/>
      <c r="Y354" s="22"/>
      <c r="Z354" s="40"/>
      <c r="AA354" s="40"/>
      <c r="AB354" s="40"/>
      <c r="AC354" s="84" t="str">
        <f t="shared" si="558"/>
        <v/>
      </c>
      <c r="AD354" s="85" t="str">
        <f t="shared" si="559"/>
        <v/>
      </c>
      <c r="AE354" s="85" t="str">
        <f t="shared" si="560"/>
        <v/>
      </c>
    </row>
    <row r="355" spans="1:31" ht="14.25" customHeight="1" x14ac:dyDescent="0.2">
      <c r="A355" s="31">
        <f t="shared" ref="A355:B355" si="592">+A354</f>
        <v>44225</v>
      </c>
      <c r="B355" s="32">
        <f t="shared" si="592"/>
        <v>5</v>
      </c>
      <c r="C355" s="62">
        <f t="shared" si="544"/>
        <v>44225</v>
      </c>
      <c r="D355" s="19">
        <v>214</v>
      </c>
      <c r="E355" s="20"/>
      <c r="F355" s="21"/>
      <c r="G355" s="22"/>
      <c r="H355" s="22"/>
      <c r="I355" s="21"/>
      <c r="J355" s="22"/>
      <c r="K355" s="22"/>
      <c r="L355" s="23">
        <f t="shared" si="545"/>
        <v>0</v>
      </c>
      <c r="M355" s="22">
        <f t="shared" si="546"/>
        <v>0</v>
      </c>
      <c r="N355" s="24">
        <v>5</v>
      </c>
      <c r="O355" s="25">
        <v>1</v>
      </c>
      <c r="P355" s="25">
        <f t="shared" si="590"/>
        <v>0</v>
      </c>
      <c r="Q355" s="26"/>
      <c r="R355" s="26"/>
      <c r="S355" s="26"/>
      <c r="T355" s="27"/>
      <c r="U355" s="28">
        <f t="shared" si="548"/>
        <v>0</v>
      </c>
      <c r="V355" s="22"/>
      <c r="W355" s="22"/>
      <c r="X355" s="40"/>
      <c r="Y355" s="22"/>
      <c r="Z355" s="40"/>
      <c r="AA355" s="40"/>
      <c r="AB355" s="40"/>
      <c r="AC355" s="84" t="str">
        <f t="shared" si="558"/>
        <v/>
      </c>
      <c r="AD355" s="85" t="str">
        <f t="shared" si="559"/>
        <v/>
      </c>
      <c r="AE355" s="85" t="str">
        <f t="shared" si="560"/>
        <v/>
      </c>
    </row>
    <row r="356" spans="1:31" ht="14.25" customHeight="1" x14ac:dyDescent="0.2">
      <c r="A356" s="33">
        <f t="shared" ref="A356:B356" si="593">+A355</f>
        <v>44225</v>
      </c>
      <c r="B356" s="34">
        <f t="shared" si="593"/>
        <v>5</v>
      </c>
      <c r="C356" s="63">
        <f t="shared" si="544"/>
        <v>44225</v>
      </c>
      <c r="D356" s="19">
        <v>215</v>
      </c>
      <c r="E356" s="20"/>
      <c r="F356" s="21"/>
      <c r="G356" s="22"/>
      <c r="H356" s="22"/>
      <c r="I356" s="21"/>
      <c r="J356" s="22"/>
      <c r="K356" s="22"/>
      <c r="L356" s="23">
        <f t="shared" si="545"/>
        <v>0</v>
      </c>
      <c r="M356" s="22">
        <f t="shared" si="546"/>
        <v>0</v>
      </c>
      <c r="N356" s="24">
        <v>5</v>
      </c>
      <c r="O356" s="25">
        <v>1</v>
      </c>
      <c r="P356" s="25">
        <f t="shared" si="590"/>
        <v>0</v>
      </c>
      <c r="Q356" s="26"/>
      <c r="R356" s="26"/>
      <c r="S356" s="26"/>
      <c r="T356" s="27"/>
      <c r="U356" s="28">
        <f t="shared" si="548"/>
        <v>0</v>
      </c>
      <c r="V356" s="22"/>
      <c r="W356" s="22"/>
      <c r="X356" s="40"/>
      <c r="Y356" s="22"/>
      <c r="Z356" s="40"/>
      <c r="AA356" s="40"/>
      <c r="AB356" s="40"/>
      <c r="AC356" s="84" t="str">
        <f t="shared" si="558"/>
        <v/>
      </c>
      <c r="AD356" s="85" t="str">
        <f t="shared" si="559"/>
        <v/>
      </c>
      <c r="AE356" s="85" t="str">
        <f t="shared" si="560"/>
        <v/>
      </c>
    </row>
    <row r="357" spans="1:31" ht="14.25" customHeight="1" x14ac:dyDescent="0.2">
      <c r="A357" s="17">
        <f t="shared" si="571"/>
        <v>44226</v>
      </c>
      <c r="B357" s="18">
        <f t="shared" si="572"/>
        <v>5</v>
      </c>
      <c r="C357" s="61">
        <f t="shared" si="544"/>
        <v>44226</v>
      </c>
      <c r="D357" s="19">
        <v>216</v>
      </c>
      <c r="E357" s="20" t="s">
        <v>25</v>
      </c>
      <c r="F357" s="21">
        <v>44185.382789351803</v>
      </c>
      <c r="G357" s="22">
        <v>2027.7</v>
      </c>
      <c r="H357" s="22"/>
      <c r="I357" s="21">
        <v>44185.397083333301</v>
      </c>
      <c r="J357" s="22">
        <v>2031.2</v>
      </c>
      <c r="K357" s="22"/>
      <c r="L357" s="23">
        <f t="shared" si="545"/>
        <v>1.4293981497758068E-2</v>
      </c>
      <c r="M357" s="22">
        <f t="shared" si="546"/>
        <v>3.5</v>
      </c>
      <c r="N357" s="24">
        <v>5</v>
      </c>
      <c r="O357" s="25">
        <v>1</v>
      </c>
      <c r="P357" s="25">
        <f t="shared" ref="P357" si="594">+IF(J357&gt;0,O357*0.8,0)</f>
        <v>0.8</v>
      </c>
      <c r="Q357" s="26"/>
      <c r="R357" s="26"/>
      <c r="S357" s="26"/>
      <c r="T357" s="27"/>
      <c r="U357" s="83">
        <f t="shared" si="548"/>
        <v>16.7</v>
      </c>
      <c r="V357" s="22">
        <f t="shared" si="574"/>
        <v>16.7</v>
      </c>
      <c r="W357" s="74">
        <f>+Tabla1[[#This Row],[RESULTADO DEL DÍA]]+W352</f>
        <v>2715.0999999999954</v>
      </c>
      <c r="X357" s="22">
        <f>+X352+Tabla1[[#This Row],[Objetivo presupuestado]]</f>
        <v>3150</v>
      </c>
      <c r="Y357" s="22" t="str">
        <f t="shared" ref="Y357" si="595">IF(AF357=0,"0",10)</f>
        <v>0</v>
      </c>
      <c r="Z357" s="22" t="str">
        <f t="shared" ref="Z357" si="596">IF(AF357=0,"0",50)</f>
        <v>0</v>
      </c>
      <c r="AA357" s="27">
        <f t="shared" ref="AA357" si="597">+IFERROR(AF360/(AG360*-1),AF360)</f>
        <v>0</v>
      </c>
      <c r="AB357" s="75" t="str">
        <f t="shared" ref="AB357" si="598">+IFERROR(AF361/AF357,"0")</f>
        <v>0</v>
      </c>
      <c r="AC357" s="84">
        <f t="shared" si="558"/>
        <v>1</v>
      </c>
      <c r="AD357" s="85">
        <f t="shared" si="559"/>
        <v>3.5</v>
      </c>
      <c r="AE357" s="85" t="str">
        <f t="shared" si="560"/>
        <v/>
      </c>
    </row>
    <row r="358" spans="1:31" ht="14.25" customHeight="1" x14ac:dyDescent="0.2">
      <c r="A358" s="31">
        <f t="shared" ref="A358:B358" si="599">+A357</f>
        <v>44226</v>
      </c>
      <c r="B358" s="32">
        <f t="shared" si="599"/>
        <v>5</v>
      </c>
      <c r="C358" s="62">
        <f t="shared" si="544"/>
        <v>44226</v>
      </c>
      <c r="D358" s="19">
        <v>217</v>
      </c>
      <c r="E358" s="20"/>
      <c r="F358" s="21"/>
      <c r="G358" s="22"/>
      <c r="H358" s="22"/>
      <c r="I358" s="21"/>
      <c r="J358" s="22"/>
      <c r="K358" s="22"/>
      <c r="L358" s="23">
        <f t="shared" si="545"/>
        <v>0</v>
      </c>
      <c r="M358" s="22">
        <f t="shared" si="546"/>
        <v>0</v>
      </c>
      <c r="N358" s="24">
        <v>5</v>
      </c>
      <c r="O358" s="25">
        <v>1</v>
      </c>
      <c r="P358" s="25">
        <f t="shared" ref="P358:P361" si="600">+IF(J358&gt;0,O358*1,0)</f>
        <v>0</v>
      </c>
      <c r="Q358" s="26"/>
      <c r="R358" s="26"/>
      <c r="S358" s="26"/>
      <c r="T358" s="27"/>
      <c r="U358" s="28">
        <f t="shared" si="548"/>
        <v>0</v>
      </c>
      <c r="V358" s="22"/>
      <c r="W358" s="22"/>
      <c r="X358" s="40"/>
      <c r="Y358" s="22"/>
      <c r="Z358" s="40"/>
      <c r="AA358" s="73"/>
      <c r="AB358" s="73"/>
      <c r="AC358" s="84" t="str">
        <f t="shared" si="558"/>
        <v/>
      </c>
      <c r="AD358" s="85" t="str">
        <f t="shared" si="559"/>
        <v/>
      </c>
      <c r="AE358" s="85" t="str">
        <f t="shared" si="560"/>
        <v/>
      </c>
    </row>
    <row r="359" spans="1:31" ht="14.25" customHeight="1" x14ac:dyDescent="0.2">
      <c r="A359" s="31">
        <f t="shared" ref="A359:B359" si="601">+A358</f>
        <v>44226</v>
      </c>
      <c r="B359" s="32">
        <f t="shared" si="601"/>
        <v>5</v>
      </c>
      <c r="C359" s="62">
        <f t="shared" si="544"/>
        <v>44226</v>
      </c>
      <c r="D359" s="19">
        <v>218</v>
      </c>
      <c r="E359" s="20"/>
      <c r="F359" s="21"/>
      <c r="G359" s="22"/>
      <c r="H359" s="22"/>
      <c r="I359" s="21"/>
      <c r="J359" s="22"/>
      <c r="K359" s="22"/>
      <c r="L359" s="23">
        <f t="shared" si="545"/>
        <v>0</v>
      </c>
      <c r="M359" s="22">
        <f t="shared" si="546"/>
        <v>0</v>
      </c>
      <c r="N359" s="24">
        <v>5</v>
      </c>
      <c r="O359" s="25">
        <v>1</v>
      </c>
      <c r="P359" s="25">
        <f t="shared" si="600"/>
        <v>0</v>
      </c>
      <c r="Q359" s="26"/>
      <c r="R359" s="26"/>
      <c r="S359" s="26"/>
      <c r="T359" s="27"/>
      <c r="U359" s="28">
        <f t="shared" si="548"/>
        <v>0</v>
      </c>
      <c r="V359" s="22"/>
      <c r="W359" s="22"/>
      <c r="X359" s="40"/>
      <c r="Y359" s="22"/>
      <c r="Z359" s="40"/>
      <c r="AA359" s="40"/>
      <c r="AB359" s="40"/>
      <c r="AC359" s="84" t="str">
        <f t="shared" si="558"/>
        <v/>
      </c>
      <c r="AD359" s="85" t="str">
        <f t="shared" si="559"/>
        <v/>
      </c>
      <c r="AE359" s="85" t="str">
        <f t="shared" si="560"/>
        <v/>
      </c>
    </row>
    <row r="360" spans="1:31" ht="14.25" customHeight="1" x14ac:dyDescent="0.2">
      <c r="A360" s="31">
        <f t="shared" ref="A360:B360" si="602">+A359</f>
        <v>44226</v>
      </c>
      <c r="B360" s="32">
        <f t="shared" si="602"/>
        <v>5</v>
      </c>
      <c r="C360" s="62">
        <f t="shared" si="544"/>
        <v>44226</v>
      </c>
      <c r="D360" s="19">
        <v>219</v>
      </c>
      <c r="E360" s="20"/>
      <c r="F360" s="21"/>
      <c r="G360" s="22"/>
      <c r="H360" s="22"/>
      <c r="I360" s="21"/>
      <c r="J360" s="22"/>
      <c r="K360" s="22"/>
      <c r="L360" s="23">
        <f t="shared" si="545"/>
        <v>0</v>
      </c>
      <c r="M360" s="22">
        <f t="shared" si="546"/>
        <v>0</v>
      </c>
      <c r="N360" s="24">
        <v>5</v>
      </c>
      <c r="O360" s="25">
        <v>1</v>
      </c>
      <c r="P360" s="25">
        <f t="shared" si="600"/>
        <v>0</v>
      </c>
      <c r="Q360" s="26"/>
      <c r="R360" s="26"/>
      <c r="S360" s="26"/>
      <c r="T360" s="27"/>
      <c r="U360" s="28">
        <f t="shared" si="548"/>
        <v>0</v>
      </c>
      <c r="V360" s="22"/>
      <c r="W360" s="22"/>
      <c r="X360" s="40"/>
      <c r="Y360" s="22"/>
      <c r="Z360" s="40"/>
      <c r="AA360" s="40"/>
      <c r="AB360" s="40"/>
      <c r="AC360" s="84" t="str">
        <f t="shared" si="558"/>
        <v/>
      </c>
      <c r="AD360" s="85" t="str">
        <f t="shared" si="559"/>
        <v/>
      </c>
      <c r="AE360" s="85" t="str">
        <f t="shared" si="560"/>
        <v/>
      </c>
    </row>
    <row r="361" spans="1:31" ht="14.25" customHeight="1" x14ac:dyDescent="0.2">
      <c r="A361" s="33">
        <f t="shared" ref="A361:B361" si="603">+A360</f>
        <v>44226</v>
      </c>
      <c r="B361" s="34">
        <f t="shared" si="603"/>
        <v>5</v>
      </c>
      <c r="C361" s="63">
        <f t="shared" si="544"/>
        <v>44226</v>
      </c>
      <c r="D361" s="19">
        <v>220</v>
      </c>
      <c r="E361" s="20"/>
      <c r="F361" s="21"/>
      <c r="G361" s="22"/>
      <c r="H361" s="22"/>
      <c r="I361" s="21"/>
      <c r="J361" s="22"/>
      <c r="K361" s="22"/>
      <c r="L361" s="23">
        <f t="shared" si="545"/>
        <v>0</v>
      </c>
      <c r="M361" s="22">
        <f t="shared" si="546"/>
        <v>0</v>
      </c>
      <c r="N361" s="24">
        <v>5</v>
      </c>
      <c r="O361" s="25">
        <v>1</v>
      </c>
      <c r="P361" s="25">
        <f t="shared" si="600"/>
        <v>0</v>
      </c>
      <c r="Q361" s="26"/>
      <c r="R361" s="26"/>
      <c r="S361" s="26"/>
      <c r="T361" s="27"/>
      <c r="U361" s="28">
        <f t="shared" si="548"/>
        <v>0</v>
      </c>
      <c r="V361" s="22"/>
      <c r="W361" s="22"/>
      <c r="X361" s="40"/>
      <c r="Y361" s="22"/>
      <c r="Z361" s="40"/>
      <c r="AA361" s="40"/>
      <c r="AB361" s="40"/>
      <c r="AC361" s="84" t="str">
        <f t="shared" si="558"/>
        <v/>
      </c>
      <c r="AD361" s="85" t="str">
        <f t="shared" si="559"/>
        <v/>
      </c>
      <c r="AE361" s="85" t="str">
        <f t="shared" si="560"/>
        <v/>
      </c>
    </row>
    <row r="362" spans="1:31" ht="14.25" customHeight="1" x14ac:dyDescent="0.2">
      <c r="A362" s="17">
        <f t="shared" si="571"/>
        <v>44227</v>
      </c>
      <c r="B362" s="18">
        <f t="shared" si="572"/>
        <v>5</v>
      </c>
      <c r="C362" s="61">
        <f t="shared" si="544"/>
        <v>44227</v>
      </c>
      <c r="D362" s="19">
        <v>221</v>
      </c>
      <c r="E362" s="20" t="s">
        <v>25</v>
      </c>
      <c r="F362" s="21">
        <v>44185.424456018503</v>
      </c>
      <c r="G362" s="22">
        <v>2028.7</v>
      </c>
      <c r="H362" s="22"/>
      <c r="I362" s="21">
        <v>44185.438750000001</v>
      </c>
      <c r="J362" s="22">
        <v>2032.2</v>
      </c>
      <c r="K362" s="22"/>
      <c r="L362" s="23">
        <f t="shared" si="545"/>
        <v>1.4293981497758068E-2</v>
      </c>
      <c r="M362" s="22">
        <f t="shared" si="546"/>
        <v>3.5</v>
      </c>
      <c r="N362" s="24">
        <v>5</v>
      </c>
      <c r="O362" s="25">
        <v>1</v>
      </c>
      <c r="P362" s="25">
        <f t="shared" ref="P362" si="604">+IF(J362&gt;0,O362*0.8,0)</f>
        <v>0.8</v>
      </c>
      <c r="Q362" s="26"/>
      <c r="R362" s="26"/>
      <c r="S362" s="26"/>
      <c r="T362" s="27"/>
      <c r="U362" s="83">
        <f t="shared" si="548"/>
        <v>16.7</v>
      </c>
      <c r="V362" s="22">
        <f t="shared" si="574"/>
        <v>16.7</v>
      </c>
      <c r="W362" s="74">
        <f>+Tabla1[[#This Row],[RESULTADO DEL DÍA]]+W357</f>
        <v>2731.7999999999952</v>
      </c>
      <c r="X362" s="22">
        <f>+X357+Tabla1[[#This Row],[Objetivo presupuestado]]</f>
        <v>3150</v>
      </c>
      <c r="Y362" s="22" t="str">
        <f t="shared" ref="Y362" si="605">IF(AF362=0,"0",10)</f>
        <v>0</v>
      </c>
      <c r="Z362" s="22" t="str">
        <f t="shared" ref="Z362" si="606">IF(AF362=0,"0",50)</f>
        <v>0</v>
      </c>
      <c r="AA362" s="27">
        <f t="shared" ref="AA362" si="607">+IFERROR(AF365/(AG365*-1),AF365)</f>
        <v>0</v>
      </c>
      <c r="AB362" s="75" t="str">
        <f t="shared" ref="AB362" si="608">+IFERROR(AF366/AF362,"0")</f>
        <v>0</v>
      </c>
      <c r="AC362" s="84">
        <f t="shared" si="558"/>
        <v>1</v>
      </c>
      <c r="AD362" s="85">
        <f t="shared" si="559"/>
        <v>3.5</v>
      </c>
      <c r="AE362" s="85" t="str">
        <f t="shared" si="560"/>
        <v/>
      </c>
    </row>
    <row r="363" spans="1:31" ht="14.25" customHeight="1" x14ac:dyDescent="0.2">
      <c r="A363" s="31">
        <f t="shared" ref="A363:B363" si="609">+A362</f>
        <v>44227</v>
      </c>
      <c r="B363" s="32">
        <f t="shared" si="609"/>
        <v>5</v>
      </c>
      <c r="C363" s="62">
        <f t="shared" si="544"/>
        <v>44227</v>
      </c>
      <c r="D363" s="19">
        <v>222</v>
      </c>
      <c r="E363" s="20"/>
      <c r="F363" s="21"/>
      <c r="G363" s="22"/>
      <c r="H363" s="22"/>
      <c r="I363" s="21"/>
      <c r="J363" s="22"/>
      <c r="K363" s="22"/>
      <c r="L363" s="23">
        <f t="shared" si="545"/>
        <v>0</v>
      </c>
      <c r="M363" s="22">
        <f t="shared" si="546"/>
        <v>0</v>
      </c>
      <c r="N363" s="24">
        <v>5</v>
      </c>
      <c r="O363" s="25">
        <v>1</v>
      </c>
      <c r="P363" s="25">
        <f t="shared" ref="P363:P366" si="610">+IF(J363&gt;0,O363*1,0)</f>
        <v>0</v>
      </c>
      <c r="Q363" s="26"/>
      <c r="R363" s="26"/>
      <c r="S363" s="26"/>
      <c r="T363" s="27"/>
      <c r="U363" s="28">
        <f t="shared" si="548"/>
        <v>0</v>
      </c>
      <c r="V363" s="22"/>
      <c r="W363" s="22"/>
      <c r="X363" s="40"/>
      <c r="Y363" s="22"/>
      <c r="Z363" s="40"/>
      <c r="AA363" s="73"/>
      <c r="AB363" s="73"/>
      <c r="AC363" s="84" t="str">
        <f t="shared" si="558"/>
        <v/>
      </c>
      <c r="AD363" s="85" t="str">
        <f t="shared" si="559"/>
        <v/>
      </c>
      <c r="AE363" s="85" t="str">
        <f t="shared" si="560"/>
        <v/>
      </c>
    </row>
    <row r="364" spans="1:31" ht="14.25" customHeight="1" x14ac:dyDescent="0.2">
      <c r="A364" s="31">
        <f t="shared" ref="A364:B364" si="611">+A363</f>
        <v>44227</v>
      </c>
      <c r="B364" s="32">
        <f t="shared" si="611"/>
        <v>5</v>
      </c>
      <c r="C364" s="62">
        <f t="shared" si="544"/>
        <v>44227</v>
      </c>
      <c r="D364" s="19">
        <v>223</v>
      </c>
      <c r="E364" s="20"/>
      <c r="F364" s="21"/>
      <c r="G364" s="22"/>
      <c r="H364" s="22"/>
      <c r="I364" s="21"/>
      <c r="J364" s="22"/>
      <c r="K364" s="22"/>
      <c r="L364" s="23">
        <f t="shared" si="545"/>
        <v>0</v>
      </c>
      <c r="M364" s="22">
        <f t="shared" si="546"/>
        <v>0</v>
      </c>
      <c r="N364" s="24">
        <v>5</v>
      </c>
      <c r="O364" s="25">
        <v>1</v>
      </c>
      <c r="P364" s="25">
        <f t="shared" si="610"/>
        <v>0</v>
      </c>
      <c r="Q364" s="26"/>
      <c r="R364" s="26"/>
      <c r="S364" s="26"/>
      <c r="T364" s="27"/>
      <c r="U364" s="28">
        <f t="shared" si="548"/>
        <v>0</v>
      </c>
      <c r="V364" s="22"/>
      <c r="W364" s="22"/>
      <c r="X364" s="40"/>
      <c r="Y364" s="22"/>
      <c r="Z364" s="40"/>
      <c r="AA364" s="40"/>
      <c r="AB364" s="40"/>
      <c r="AC364" s="84" t="str">
        <f t="shared" si="558"/>
        <v/>
      </c>
      <c r="AD364" s="85" t="str">
        <f t="shared" si="559"/>
        <v/>
      </c>
      <c r="AE364" s="85" t="str">
        <f t="shared" si="560"/>
        <v/>
      </c>
    </row>
    <row r="365" spans="1:31" ht="14.25" customHeight="1" x14ac:dyDescent="0.2">
      <c r="A365" s="31">
        <f t="shared" ref="A365:B365" si="612">+A364</f>
        <v>44227</v>
      </c>
      <c r="B365" s="32">
        <f t="shared" si="612"/>
        <v>5</v>
      </c>
      <c r="C365" s="62">
        <f t="shared" si="544"/>
        <v>44227</v>
      </c>
      <c r="D365" s="19">
        <v>224</v>
      </c>
      <c r="E365" s="20"/>
      <c r="F365" s="21"/>
      <c r="G365" s="22"/>
      <c r="H365" s="22"/>
      <c r="I365" s="21"/>
      <c r="J365" s="22"/>
      <c r="K365" s="22"/>
      <c r="L365" s="23">
        <f t="shared" si="545"/>
        <v>0</v>
      </c>
      <c r="M365" s="22">
        <f t="shared" si="546"/>
        <v>0</v>
      </c>
      <c r="N365" s="24">
        <v>5</v>
      </c>
      <c r="O365" s="25">
        <v>1</v>
      </c>
      <c r="P365" s="25">
        <f t="shared" si="610"/>
        <v>0</v>
      </c>
      <c r="Q365" s="26"/>
      <c r="R365" s="26"/>
      <c r="S365" s="26"/>
      <c r="T365" s="27"/>
      <c r="U365" s="28">
        <f t="shared" si="548"/>
        <v>0</v>
      </c>
      <c r="V365" s="22"/>
      <c r="W365" s="22"/>
      <c r="X365" s="40"/>
      <c r="Y365" s="22"/>
      <c r="Z365" s="40"/>
      <c r="AA365" s="40"/>
      <c r="AB365" s="40"/>
      <c r="AC365" s="84" t="str">
        <f t="shared" si="558"/>
        <v/>
      </c>
      <c r="AD365" s="85" t="str">
        <f t="shared" si="559"/>
        <v/>
      </c>
      <c r="AE365" s="85" t="str">
        <f t="shared" si="560"/>
        <v/>
      </c>
    </row>
    <row r="366" spans="1:31" ht="14.25" customHeight="1" x14ac:dyDescent="0.2">
      <c r="A366" s="33">
        <f t="shared" ref="A366:B366" si="613">+A365</f>
        <v>44227</v>
      </c>
      <c r="B366" s="34">
        <f t="shared" si="613"/>
        <v>5</v>
      </c>
      <c r="C366" s="63">
        <f t="shared" si="544"/>
        <v>44227</v>
      </c>
      <c r="D366" s="19">
        <v>225</v>
      </c>
      <c r="E366" s="20"/>
      <c r="F366" s="21"/>
      <c r="G366" s="22"/>
      <c r="H366" s="22"/>
      <c r="I366" s="21"/>
      <c r="J366" s="22"/>
      <c r="K366" s="22"/>
      <c r="L366" s="23">
        <f t="shared" si="545"/>
        <v>0</v>
      </c>
      <c r="M366" s="22">
        <f t="shared" si="546"/>
        <v>0</v>
      </c>
      <c r="N366" s="24">
        <v>5</v>
      </c>
      <c r="O366" s="25">
        <v>1</v>
      </c>
      <c r="P366" s="25">
        <f t="shared" si="610"/>
        <v>0</v>
      </c>
      <c r="Q366" s="26"/>
      <c r="R366" s="26"/>
      <c r="S366" s="26"/>
      <c r="T366" s="27"/>
      <c r="U366" s="28">
        <f t="shared" si="548"/>
        <v>0</v>
      </c>
      <c r="V366" s="22"/>
      <c r="W366" s="22"/>
      <c r="X366" s="40"/>
      <c r="Y366" s="22"/>
      <c r="Z366" s="40"/>
      <c r="AA366" s="40"/>
      <c r="AB366" s="40"/>
      <c r="AC366" s="84" t="str">
        <f t="shared" si="558"/>
        <v/>
      </c>
      <c r="AD366" s="85" t="str">
        <f t="shared" si="559"/>
        <v/>
      </c>
      <c r="AE366" s="85" t="str">
        <f t="shared" si="560"/>
        <v/>
      </c>
    </row>
    <row r="367" spans="1:31" ht="14.25" customHeight="1" x14ac:dyDescent="0.2"/>
    <row r="368" spans="1:31" ht="14.25" customHeight="1" x14ac:dyDescent="0.2"/>
    <row r="369" ht="14.25" customHeight="1" x14ac:dyDescent="0.2"/>
    <row r="370" ht="14.25" customHeight="1" x14ac:dyDescent="0.2"/>
    <row r="371" ht="14.25" customHeight="1" x14ac:dyDescent="0.2"/>
    <row r="372" ht="14.25" customHeight="1" x14ac:dyDescent="0.2"/>
    <row r="373" ht="14.25" customHeight="1" x14ac:dyDescent="0.2"/>
    <row r="374" ht="14.25" customHeight="1" x14ac:dyDescent="0.2"/>
    <row r="375" ht="14.25" customHeight="1" x14ac:dyDescent="0.2"/>
    <row r="376" ht="14.25" customHeight="1" x14ac:dyDescent="0.2"/>
    <row r="377" ht="14.25" customHeight="1" x14ac:dyDescent="0.2"/>
    <row r="378" ht="14.25" customHeight="1" x14ac:dyDescent="0.2"/>
    <row r="379" ht="14.25" customHeight="1" x14ac:dyDescent="0.2"/>
    <row r="380" ht="14.25" customHeight="1" x14ac:dyDescent="0.2"/>
    <row r="381" ht="14.25" customHeight="1" x14ac:dyDescent="0.2"/>
    <row r="382" ht="14.25" customHeight="1" x14ac:dyDescent="0.2"/>
    <row r="383" ht="14.25" customHeight="1" x14ac:dyDescent="0.2"/>
    <row r="384" ht="14.25" customHeight="1" x14ac:dyDescent="0.2"/>
    <row r="385" ht="14.25" customHeight="1" x14ac:dyDescent="0.2"/>
    <row r="386" ht="14.25" customHeight="1" x14ac:dyDescent="0.2"/>
    <row r="387" ht="14.25" customHeight="1" x14ac:dyDescent="0.2"/>
    <row r="388" ht="14.25" customHeight="1" x14ac:dyDescent="0.2"/>
    <row r="389" ht="14.25" customHeight="1" x14ac:dyDescent="0.2"/>
    <row r="390" ht="14.25" customHeight="1" x14ac:dyDescent="0.2"/>
    <row r="391" ht="14.25" customHeight="1" x14ac:dyDescent="0.2"/>
    <row r="392" ht="14.25" customHeight="1" x14ac:dyDescent="0.2"/>
    <row r="393" ht="14.25" customHeight="1" x14ac:dyDescent="0.2"/>
    <row r="394" ht="14.25" customHeight="1" x14ac:dyDescent="0.2"/>
    <row r="395" ht="14.25" customHeight="1" x14ac:dyDescent="0.2"/>
    <row r="396" ht="14.25" customHeight="1" x14ac:dyDescent="0.2"/>
    <row r="397" ht="14.25" customHeight="1" x14ac:dyDescent="0.2"/>
    <row r="398" ht="14.25" customHeight="1" x14ac:dyDescent="0.2"/>
    <row r="399" ht="14.25" customHeight="1" x14ac:dyDescent="0.2"/>
    <row r="400" ht="14.25" customHeight="1" x14ac:dyDescent="0.2"/>
    <row r="401" ht="14.25" customHeight="1" x14ac:dyDescent="0.2"/>
    <row r="402" ht="14.25" customHeight="1" x14ac:dyDescent="0.2"/>
    <row r="403" ht="14.25" customHeight="1" x14ac:dyDescent="0.2"/>
    <row r="404" ht="14.25" customHeight="1" x14ac:dyDescent="0.2"/>
    <row r="405" ht="14.25" customHeight="1" x14ac:dyDescent="0.2"/>
    <row r="406" ht="14.25" customHeight="1" x14ac:dyDescent="0.2"/>
    <row r="407" ht="14.25" customHeight="1" x14ac:dyDescent="0.2"/>
    <row r="408" ht="14.25" customHeight="1" x14ac:dyDescent="0.2"/>
    <row r="409" ht="14.25" customHeight="1" x14ac:dyDescent="0.2"/>
    <row r="410" ht="14.25" customHeight="1" x14ac:dyDescent="0.2"/>
    <row r="411" ht="14.25" customHeight="1" x14ac:dyDescent="0.2"/>
    <row r="412" ht="14.25" customHeight="1" x14ac:dyDescent="0.2"/>
    <row r="413" ht="14.25" customHeight="1" x14ac:dyDescent="0.2"/>
    <row r="414" ht="14.25" customHeight="1" x14ac:dyDescent="0.2"/>
    <row r="415" ht="14.25" customHeight="1" x14ac:dyDescent="0.2"/>
    <row r="416" ht="14.25" customHeight="1" x14ac:dyDescent="0.2"/>
    <row r="417" ht="14.25" customHeight="1" x14ac:dyDescent="0.2"/>
    <row r="418" ht="14.25" customHeight="1" x14ac:dyDescent="0.2"/>
    <row r="419" ht="14.25" customHeight="1" x14ac:dyDescent="0.2"/>
    <row r="420" ht="14.25" customHeight="1" x14ac:dyDescent="0.2"/>
    <row r="421" ht="14.25" customHeight="1" x14ac:dyDescent="0.2"/>
    <row r="422" ht="14.25" customHeight="1" x14ac:dyDescent="0.2"/>
    <row r="423" ht="14.25" customHeight="1" x14ac:dyDescent="0.2"/>
    <row r="424" ht="14.25" customHeight="1" x14ac:dyDescent="0.2"/>
    <row r="425" ht="14.25" customHeight="1" x14ac:dyDescent="0.2"/>
    <row r="426" ht="14.25" customHeight="1" x14ac:dyDescent="0.2"/>
    <row r="427" ht="14.25" customHeight="1" x14ac:dyDescent="0.2"/>
    <row r="428" ht="14.25" customHeight="1" x14ac:dyDescent="0.2"/>
    <row r="429" ht="14.25" customHeight="1" x14ac:dyDescent="0.2"/>
    <row r="430" ht="14.25" customHeight="1" x14ac:dyDescent="0.2"/>
    <row r="431" ht="14.25" customHeight="1" x14ac:dyDescent="0.2"/>
    <row r="432" ht="14.25" customHeight="1" x14ac:dyDescent="0.2"/>
    <row r="433" ht="14.25" customHeight="1" x14ac:dyDescent="0.2"/>
    <row r="434" ht="14.25" customHeight="1" x14ac:dyDescent="0.2"/>
    <row r="435" ht="14.25" customHeight="1" x14ac:dyDescent="0.2"/>
    <row r="436" ht="14.25" customHeight="1" x14ac:dyDescent="0.2"/>
    <row r="437" ht="14.25" customHeight="1" x14ac:dyDescent="0.2"/>
    <row r="438" ht="14.25" customHeight="1" x14ac:dyDescent="0.2"/>
    <row r="439" ht="14.25" customHeight="1" x14ac:dyDescent="0.2"/>
    <row r="440" ht="14.25" customHeight="1" x14ac:dyDescent="0.2"/>
    <row r="441" ht="14.25" customHeight="1" x14ac:dyDescent="0.2"/>
    <row r="442" ht="14.25" customHeight="1" x14ac:dyDescent="0.2"/>
    <row r="443" ht="14.25" customHeight="1" x14ac:dyDescent="0.2"/>
    <row r="444" ht="14.25" customHeight="1" x14ac:dyDescent="0.2"/>
    <row r="445" ht="14.25" customHeight="1" x14ac:dyDescent="0.2"/>
    <row r="446" ht="14.25" customHeight="1" x14ac:dyDescent="0.2"/>
    <row r="447" ht="14.25" customHeight="1" x14ac:dyDescent="0.2"/>
    <row r="448" ht="14.25" customHeight="1" x14ac:dyDescent="0.2"/>
    <row r="449" ht="14.25" customHeight="1" x14ac:dyDescent="0.2"/>
    <row r="450" ht="14.25" customHeight="1" x14ac:dyDescent="0.2"/>
    <row r="451" ht="14.25" customHeight="1" x14ac:dyDescent="0.2"/>
    <row r="452" ht="14.25" customHeight="1" x14ac:dyDescent="0.2"/>
    <row r="453" ht="14.25" customHeight="1" x14ac:dyDescent="0.2"/>
    <row r="454" ht="14.25" customHeight="1" x14ac:dyDescent="0.2"/>
    <row r="455" ht="14.25" customHeight="1" x14ac:dyDescent="0.2"/>
    <row r="456" ht="14.25" customHeight="1" x14ac:dyDescent="0.2"/>
    <row r="457" ht="14.25" customHeight="1" x14ac:dyDescent="0.2"/>
    <row r="458" ht="14.25" customHeight="1" x14ac:dyDescent="0.2"/>
    <row r="459" ht="14.25" customHeight="1" x14ac:dyDescent="0.2"/>
    <row r="460" ht="14.25" customHeight="1" x14ac:dyDescent="0.2"/>
    <row r="461" ht="14.25" customHeight="1" x14ac:dyDescent="0.2"/>
    <row r="462" ht="14.25" customHeight="1" x14ac:dyDescent="0.2"/>
    <row r="463" ht="14.25" customHeight="1" x14ac:dyDescent="0.2"/>
    <row r="464" ht="14.25" customHeight="1" x14ac:dyDescent="0.2"/>
    <row r="465" ht="14.25" customHeight="1" x14ac:dyDescent="0.2"/>
    <row r="466" ht="14.25" customHeight="1" x14ac:dyDescent="0.2"/>
    <row r="467" ht="14.25" customHeight="1" x14ac:dyDescent="0.2"/>
    <row r="468" ht="14.25" customHeight="1" x14ac:dyDescent="0.2"/>
    <row r="469" ht="14.25" customHeight="1" x14ac:dyDescent="0.2"/>
    <row r="470" ht="14.25" customHeight="1" x14ac:dyDescent="0.2"/>
    <row r="471" ht="14.25" customHeight="1" x14ac:dyDescent="0.2"/>
    <row r="472" ht="14.25" customHeight="1" x14ac:dyDescent="0.2"/>
    <row r="473" ht="14.25" customHeight="1" x14ac:dyDescent="0.2"/>
    <row r="474" ht="14.25" customHeight="1" x14ac:dyDescent="0.2"/>
    <row r="475" ht="14.25" customHeight="1" x14ac:dyDescent="0.2"/>
    <row r="476" ht="14.25" customHeight="1" x14ac:dyDescent="0.2"/>
    <row r="477" ht="14.25" customHeight="1" x14ac:dyDescent="0.2"/>
    <row r="478" ht="14.25" customHeight="1" x14ac:dyDescent="0.2"/>
    <row r="479" ht="14.25" customHeight="1" x14ac:dyDescent="0.2"/>
    <row r="480" ht="14.25" customHeight="1" x14ac:dyDescent="0.2"/>
    <row r="481" ht="14.25" customHeight="1" x14ac:dyDescent="0.2"/>
    <row r="482" ht="14.25" customHeight="1" x14ac:dyDescent="0.2"/>
    <row r="483" ht="14.25" customHeight="1" x14ac:dyDescent="0.2"/>
    <row r="484" ht="14.25" customHeight="1" x14ac:dyDescent="0.2"/>
    <row r="485" ht="14.25" customHeight="1" x14ac:dyDescent="0.2"/>
    <row r="486" ht="14.25" customHeight="1" x14ac:dyDescent="0.2"/>
    <row r="487" ht="14.25" customHeight="1" x14ac:dyDescent="0.2"/>
    <row r="488" ht="14.25" customHeight="1" x14ac:dyDescent="0.2"/>
    <row r="489" ht="14.25" customHeight="1" x14ac:dyDescent="0.2"/>
    <row r="490" ht="14.25" customHeight="1" x14ac:dyDescent="0.2"/>
    <row r="491" ht="14.25" customHeight="1" x14ac:dyDescent="0.2"/>
    <row r="492" ht="14.25" customHeight="1" x14ac:dyDescent="0.2"/>
    <row r="493" ht="14.25" customHeight="1" x14ac:dyDescent="0.2"/>
    <row r="494" ht="14.25" customHeight="1" x14ac:dyDescent="0.2"/>
    <row r="495" ht="14.25" customHeight="1" x14ac:dyDescent="0.2"/>
    <row r="496" ht="14.25" customHeight="1" x14ac:dyDescent="0.2"/>
    <row r="497" ht="14.25" customHeight="1" x14ac:dyDescent="0.2"/>
    <row r="498" ht="14.25" customHeight="1" x14ac:dyDescent="0.2"/>
    <row r="499" ht="14.25" customHeight="1" x14ac:dyDescent="0.2"/>
    <row r="500" ht="14.25" customHeight="1" x14ac:dyDescent="0.2"/>
    <row r="501" ht="14.25" customHeight="1" x14ac:dyDescent="0.2"/>
    <row r="502" ht="14.25" customHeight="1" x14ac:dyDescent="0.2"/>
    <row r="503" ht="14.25" customHeight="1" x14ac:dyDescent="0.2"/>
    <row r="504" ht="14.25" customHeight="1" x14ac:dyDescent="0.2"/>
    <row r="505" ht="14.25" customHeight="1" x14ac:dyDescent="0.2"/>
    <row r="506" ht="14.25" customHeight="1" x14ac:dyDescent="0.2"/>
    <row r="507" ht="14.25" customHeight="1" x14ac:dyDescent="0.2"/>
    <row r="508" ht="14.25" customHeight="1" x14ac:dyDescent="0.2"/>
    <row r="509" ht="14.25" customHeight="1" x14ac:dyDescent="0.2"/>
    <row r="510" ht="14.25" customHeight="1" x14ac:dyDescent="0.2"/>
    <row r="511" ht="14.25" customHeight="1" x14ac:dyDescent="0.2"/>
    <row r="512" ht="14.25" customHeight="1" x14ac:dyDescent="0.2"/>
    <row r="513" ht="14.25" customHeight="1" x14ac:dyDescent="0.2"/>
    <row r="514" ht="14.25" customHeight="1" x14ac:dyDescent="0.2"/>
    <row r="515" ht="14.25" customHeight="1" x14ac:dyDescent="0.2"/>
    <row r="516" ht="14.25" customHeight="1" x14ac:dyDescent="0.2"/>
    <row r="517" ht="14.25" customHeight="1" x14ac:dyDescent="0.2"/>
    <row r="518" ht="14.25" customHeight="1" x14ac:dyDescent="0.2"/>
    <row r="519" ht="14.25" customHeight="1" x14ac:dyDescent="0.2"/>
    <row r="520" ht="14.25" customHeight="1" x14ac:dyDescent="0.2"/>
    <row r="521" ht="14.25" customHeight="1" x14ac:dyDescent="0.2"/>
    <row r="522" ht="14.25" customHeight="1" x14ac:dyDescent="0.2"/>
    <row r="523" ht="14.25" customHeight="1" x14ac:dyDescent="0.2"/>
    <row r="524" ht="14.25" customHeight="1" x14ac:dyDescent="0.2"/>
    <row r="525" ht="14.25" customHeight="1" x14ac:dyDescent="0.2"/>
    <row r="526" ht="14.25" customHeight="1" x14ac:dyDescent="0.2"/>
    <row r="527" ht="14.25" customHeight="1" x14ac:dyDescent="0.2"/>
    <row r="528" ht="14.25" customHeight="1" x14ac:dyDescent="0.2"/>
    <row r="529" ht="14.25" customHeight="1" x14ac:dyDescent="0.2"/>
    <row r="530" ht="14.25" customHeight="1" x14ac:dyDescent="0.2"/>
    <row r="531" ht="14.25" customHeight="1" x14ac:dyDescent="0.2"/>
    <row r="532" ht="14.25" customHeight="1" x14ac:dyDescent="0.2"/>
    <row r="533" ht="14.25" customHeight="1" x14ac:dyDescent="0.2"/>
    <row r="534" ht="14.25" customHeight="1" x14ac:dyDescent="0.2"/>
    <row r="535" ht="14.25" customHeight="1" x14ac:dyDescent="0.2"/>
    <row r="536" ht="14.25" customHeight="1" x14ac:dyDescent="0.2"/>
    <row r="537" ht="14.25" customHeight="1" x14ac:dyDescent="0.2"/>
    <row r="538" ht="14.25" customHeight="1" x14ac:dyDescent="0.2"/>
    <row r="539" ht="14.25" customHeight="1" x14ac:dyDescent="0.2"/>
    <row r="540" ht="14.25" customHeight="1" x14ac:dyDescent="0.2"/>
    <row r="541" ht="14.25" customHeight="1" x14ac:dyDescent="0.2"/>
    <row r="542" ht="14.25" customHeight="1" x14ac:dyDescent="0.2"/>
    <row r="543" ht="14.25" customHeight="1" x14ac:dyDescent="0.2"/>
    <row r="544" ht="14.25" customHeight="1" x14ac:dyDescent="0.2"/>
    <row r="545" ht="14.25" customHeight="1" x14ac:dyDescent="0.2"/>
    <row r="546" ht="14.25" customHeight="1" x14ac:dyDescent="0.2"/>
    <row r="547" ht="14.25" customHeight="1" x14ac:dyDescent="0.2"/>
    <row r="548" ht="14.25" customHeight="1" x14ac:dyDescent="0.2"/>
    <row r="549" ht="14.25" customHeight="1" x14ac:dyDescent="0.2"/>
    <row r="550" ht="14.25" customHeight="1" x14ac:dyDescent="0.2"/>
    <row r="551" ht="14.25" customHeight="1" x14ac:dyDescent="0.2"/>
    <row r="552" ht="14.25" customHeight="1" x14ac:dyDescent="0.2"/>
    <row r="553" ht="14.25" customHeight="1" x14ac:dyDescent="0.2"/>
    <row r="554" ht="14.25" customHeight="1" x14ac:dyDescent="0.2"/>
    <row r="555" ht="14.25" customHeight="1" x14ac:dyDescent="0.2"/>
    <row r="556" ht="14.25" customHeight="1" x14ac:dyDescent="0.2"/>
    <row r="557" ht="14.25" customHeight="1" x14ac:dyDescent="0.2"/>
    <row r="558" ht="14.25" customHeight="1" x14ac:dyDescent="0.2"/>
    <row r="559" ht="14.25" customHeight="1" x14ac:dyDescent="0.2"/>
    <row r="560" ht="14.25" customHeight="1" x14ac:dyDescent="0.2"/>
    <row r="561" ht="14.25" customHeight="1" x14ac:dyDescent="0.2"/>
    <row r="562" ht="14.25" customHeight="1" x14ac:dyDescent="0.2"/>
    <row r="563" ht="14.25" customHeight="1" x14ac:dyDescent="0.2"/>
    <row r="564" ht="14.25" customHeight="1" x14ac:dyDescent="0.2"/>
    <row r="565" ht="14.25" customHeight="1" x14ac:dyDescent="0.2"/>
    <row r="566" ht="14.25" customHeight="1" x14ac:dyDescent="0.2"/>
    <row r="567" ht="14.25" customHeight="1" x14ac:dyDescent="0.2"/>
    <row r="568" ht="14.25" customHeight="1" x14ac:dyDescent="0.2"/>
    <row r="569" ht="14.25" customHeight="1" x14ac:dyDescent="0.2"/>
    <row r="570" ht="14.25" customHeight="1" x14ac:dyDescent="0.2"/>
    <row r="571" ht="14.25" customHeight="1" x14ac:dyDescent="0.2"/>
    <row r="572" ht="14.25" customHeight="1" x14ac:dyDescent="0.2"/>
    <row r="573" ht="14.25" customHeight="1" x14ac:dyDescent="0.2"/>
    <row r="574" ht="14.25" customHeight="1" x14ac:dyDescent="0.2"/>
    <row r="575" ht="14.25" customHeight="1" x14ac:dyDescent="0.2"/>
    <row r="576" ht="14.25" customHeight="1" x14ac:dyDescent="0.2"/>
    <row r="577" ht="14.25" customHeight="1" x14ac:dyDescent="0.2"/>
    <row r="578" ht="14.25" customHeight="1" x14ac:dyDescent="0.2"/>
    <row r="579" ht="14.25" customHeight="1" x14ac:dyDescent="0.2"/>
    <row r="580" ht="14.25" customHeight="1" x14ac:dyDescent="0.2"/>
    <row r="581" ht="14.25" customHeight="1" x14ac:dyDescent="0.2"/>
    <row r="582" ht="14.25" customHeight="1" x14ac:dyDescent="0.2"/>
    <row r="583" ht="14.25" customHeight="1" x14ac:dyDescent="0.2"/>
    <row r="584" ht="14.25" customHeight="1" x14ac:dyDescent="0.2"/>
    <row r="585" ht="14.25" customHeight="1" x14ac:dyDescent="0.2"/>
    <row r="586" ht="14.25" customHeight="1" x14ac:dyDescent="0.2"/>
    <row r="587" ht="14.25" customHeight="1" x14ac:dyDescent="0.2"/>
    <row r="588" ht="14.25" customHeight="1" x14ac:dyDescent="0.2"/>
    <row r="589" ht="14.25" customHeight="1" x14ac:dyDescent="0.2"/>
    <row r="590" ht="14.25" customHeight="1" x14ac:dyDescent="0.2"/>
    <row r="591" ht="14.25" customHeight="1" x14ac:dyDescent="0.2"/>
    <row r="592" ht="14.25" customHeight="1" x14ac:dyDescent="0.2"/>
    <row r="593" ht="14.25" customHeight="1" x14ac:dyDescent="0.2"/>
    <row r="594" ht="14.25" customHeight="1" x14ac:dyDescent="0.2"/>
    <row r="595" ht="14.25" customHeight="1" x14ac:dyDescent="0.2"/>
    <row r="596" ht="14.25" customHeight="1" x14ac:dyDescent="0.2"/>
    <row r="597" ht="14.25" customHeight="1" x14ac:dyDescent="0.2"/>
    <row r="598" ht="14.25" customHeight="1" x14ac:dyDescent="0.2"/>
    <row r="599" ht="14.25" customHeight="1" x14ac:dyDescent="0.2"/>
    <row r="600" ht="14.25" customHeight="1" x14ac:dyDescent="0.2"/>
    <row r="601" ht="14.25" customHeight="1" x14ac:dyDescent="0.2"/>
    <row r="602" ht="14.25" customHeight="1" x14ac:dyDescent="0.2"/>
    <row r="603" ht="14.25" customHeight="1" x14ac:dyDescent="0.2"/>
    <row r="604" ht="14.25" customHeight="1" x14ac:dyDescent="0.2"/>
    <row r="605" ht="14.25" customHeight="1" x14ac:dyDescent="0.2"/>
    <row r="606" ht="14.25" customHeight="1" x14ac:dyDescent="0.2"/>
    <row r="607" ht="14.25" customHeight="1" x14ac:dyDescent="0.2"/>
    <row r="608" ht="14.25" customHeight="1" x14ac:dyDescent="0.2"/>
    <row r="609" ht="14.25" customHeight="1" x14ac:dyDescent="0.2"/>
    <row r="610" ht="14.25" customHeight="1" x14ac:dyDescent="0.2"/>
    <row r="611" ht="14.25" customHeight="1" x14ac:dyDescent="0.2"/>
    <row r="612" ht="14.25" customHeight="1" x14ac:dyDescent="0.2"/>
    <row r="613" ht="14.25" customHeight="1" x14ac:dyDescent="0.2"/>
    <row r="614" ht="14.25" customHeight="1" x14ac:dyDescent="0.2"/>
    <row r="615" ht="14.25" customHeight="1" x14ac:dyDescent="0.2"/>
    <row r="616" ht="14.25" customHeight="1" x14ac:dyDescent="0.2"/>
    <row r="617" ht="14.25" customHeight="1" x14ac:dyDescent="0.2"/>
    <row r="618" ht="14.25" customHeight="1" x14ac:dyDescent="0.2"/>
    <row r="619" ht="14.25" customHeight="1" x14ac:dyDescent="0.2"/>
    <row r="620" ht="14.25" customHeight="1" x14ac:dyDescent="0.2"/>
    <row r="621" ht="14.25" customHeight="1" x14ac:dyDescent="0.2"/>
    <row r="622" ht="14.25" customHeight="1" x14ac:dyDescent="0.2"/>
    <row r="623" ht="14.25" customHeight="1" x14ac:dyDescent="0.2"/>
    <row r="624" ht="14.25" customHeight="1" x14ac:dyDescent="0.2"/>
    <row r="625" ht="14.25" customHeight="1" x14ac:dyDescent="0.2"/>
    <row r="626" ht="14.25" customHeight="1" x14ac:dyDescent="0.2"/>
    <row r="627" ht="14.25" customHeight="1" x14ac:dyDescent="0.2"/>
    <row r="628" ht="14.25" customHeight="1" x14ac:dyDescent="0.2"/>
    <row r="629" ht="14.25" customHeight="1" x14ac:dyDescent="0.2"/>
    <row r="630" ht="14.25" customHeight="1" x14ac:dyDescent="0.2"/>
    <row r="631" ht="14.25" customHeight="1" x14ac:dyDescent="0.2"/>
    <row r="632" ht="14.25" customHeight="1" x14ac:dyDescent="0.2"/>
    <row r="633" ht="14.25" customHeight="1" x14ac:dyDescent="0.2"/>
    <row r="634" ht="14.25" customHeight="1" x14ac:dyDescent="0.2"/>
    <row r="635" ht="14.25" customHeight="1" x14ac:dyDescent="0.2"/>
    <row r="636" ht="14.25" customHeight="1" x14ac:dyDescent="0.2"/>
    <row r="637" ht="14.25" customHeight="1" x14ac:dyDescent="0.2"/>
    <row r="638" ht="14.25" customHeight="1" x14ac:dyDescent="0.2"/>
    <row r="639" ht="14.25" customHeight="1" x14ac:dyDescent="0.2"/>
    <row r="640" ht="14.25" customHeight="1" x14ac:dyDescent="0.2"/>
    <row r="641" ht="14.25" customHeight="1" x14ac:dyDescent="0.2"/>
    <row r="642" ht="14.25" customHeight="1" x14ac:dyDescent="0.2"/>
    <row r="643" ht="14.25" customHeight="1" x14ac:dyDescent="0.2"/>
    <row r="644" ht="14.25" customHeight="1" x14ac:dyDescent="0.2"/>
    <row r="645" ht="14.25" customHeight="1" x14ac:dyDescent="0.2"/>
    <row r="646" ht="14.25" customHeight="1" x14ac:dyDescent="0.2"/>
    <row r="647" ht="14.25" customHeight="1" x14ac:dyDescent="0.2"/>
    <row r="648" ht="14.25" customHeight="1" x14ac:dyDescent="0.2"/>
    <row r="649" ht="14.25" customHeight="1" x14ac:dyDescent="0.2"/>
    <row r="650" ht="14.25" customHeight="1" x14ac:dyDescent="0.2"/>
    <row r="651" ht="14.25" customHeight="1" x14ac:dyDescent="0.2"/>
    <row r="652" ht="14.25" customHeight="1" x14ac:dyDescent="0.2"/>
    <row r="653" ht="14.25" customHeight="1" x14ac:dyDescent="0.2"/>
    <row r="654" ht="14.25" customHeight="1" x14ac:dyDescent="0.2"/>
    <row r="655" ht="14.25" customHeight="1" x14ac:dyDescent="0.2"/>
    <row r="656" ht="14.25" customHeight="1" x14ac:dyDescent="0.2"/>
    <row r="657" ht="14.25" customHeight="1" x14ac:dyDescent="0.2"/>
    <row r="658" ht="14.25" customHeight="1" x14ac:dyDescent="0.2"/>
    <row r="659" ht="14.25" customHeight="1" x14ac:dyDescent="0.2"/>
    <row r="660" ht="14.25" customHeight="1" x14ac:dyDescent="0.2"/>
    <row r="661" ht="14.25" customHeight="1" x14ac:dyDescent="0.2"/>
    <row r="662" ht="14.25" customHeight="1" x14ac:dyDescent="0.2"/>
    <row r="663" ht="14.25" customHeight="1" x14ac:dyDescent="0.2"/>
    <row r="664" ht="14.25" customHeight="1" x14ac:dyDescent="0.2"/>
    <row r="665" ht="14.25" customHeight="1" x14ac:dyDescent="0.2"/>
    <row r="666" ht="14.25" customHeight="1" x14ac:dyDescent="0.2"/>
    <row r="667" ht="14.25" customHeight="1" x14ac:dyDescent="0.2"/>
    <row r="668" ht="14.25" customHeight="1" x14ac:dyDescent="0.2"/>
    <row r="669" ht="14.25" customHeight="1" x14ac:dyDescent="0.2"/>
    <row r="670" ht="14.25" customHeight="1" x14ac:dyDescent="0.2"/>
    <row r="671" ht="14.25" customHeight="1" x14ac:dyDescent="0.2"/>
    <row r="672" ht="14.25" customHeight="1" x14ac:dyDescent="0.2"/>
    <row r="673" ht="14.25" customHeight="1" x14ac:dyDescent="0.2"/>
    <row r="674" ht="14.25" customHeight="1" x14ac:dyDescent="0.2"/>
    <row r="675" ht="14.25" customHeight="1" x14ac:dyDescent="0.2"/>
    <row r="676" ht="14.25" customHeight="1" x14ac:dyDescent="0.2"/>
    <row r="677" ht="14.25" customHeight="1" x14ac:dyDescent="0.2"/>
    <row r="678" ht="14.25" customHeight="1" x14ac:dyDescent="0.2"/>
    <row r="679" ht="14.25" customHeight="1" x14ac:dyDescent="0.2"/>
    <row r="680" ht="14.25" customHeight="1" x14ac:dyDescent="0.2"/>
    <row r="681" ht="14.25" customHeight="1" x14ac:dyDescent="0.2"/>
    <row r="682" ht="14.25" customHeight="1" x14ac:dyDescent="0.2"/>
    <row r="683" ht="14.25" customHeight="1" x14ac:dyDescent="0.2"/>
    <row r="684" ht="14.25" customHeight="1" x14ac:dyDescent="0.2"/>
    <row r="685" ht="14.25" customHeight="1" x14ac:dyDescent="0.2"/>
    <row r="686" ht="14.25" customHeight="1" x14ac:dyDescent="0.2"/>
    <row r="687" ht="14.25" customHeight="1" x14ac:dyDescent="0.2"/>
    <row r="688" ht="14.25" customHeight="1" x14ac:dyDescent="0.2"/>
    <row r="689" ht="14.25" customHeight="1" x14ac:dyDescent="0.2"/>
    <row r="690" ht="14.25" customHeight="1" x14ac:dyDescent="0.2"/>
    <row r="691" ht="14.25" customHeight="1" x14ac:dyDescent="0.2"/>
    <row r="692" ht="14.25" customHeight="1" x14ac:dyDescent="0.2"/>
    <row r="693" ht="14.25" customHeight="1" x14ac:dyDescent="0.2"/>
    <row r="694" ht="14.25" customHeight="1" x14ac:dyDescent="0.2"/>
    <row r="695" ht="14.25" customHeight="1" x14ac:dyDescent="0.2"/>
    <row r="696" ht="14.25" customHeight="1" x14ac:dyDescent="0.2"/>
    <row r="697" ht="14.25" customHeight="1" x14ac:dyDescent="0.2"/>
    <row r="698" ht="14.25" customHeight="1" x14ac:dyDescent="0.2"/>
    <row r="699" ht="14.25" customHeight="1" x14ac:dyDescent="0.2"/>
    <row r="700" ht="14.25" customHeight="1" x14ac:dyDescent="0.2"/>
    <row r="701" ht="14.25" customHeight="1" x14ac:dyDescent="0.2"/>
    <row r="702" ht="14.25" customHeight="1" x14ac:dyDescent="0.2"/>
    <row r="703" ht="14.25" customHeight="1" x14ac:dyDescent="0.2"/>
    <row r="704" ht="14.25" customHeight="1" x14ac:dyDescent="0.2"/>
    <row r="705" ht="14.25" customHeight="1" x14ac:dyDescent="0.2"/>
    <row r="706" ht="14.25" customHeight="1" x14ac:dyDescent="0.2"/>
    <row r="707" ht="14.25" customHeight="1" x14ac:dyDescent="0.2"/>
    <row r="708" ht="14.25" customHeight="1" x14ac:dyDescent="0.2"/>
    <row r="709" ht="14.25" customHeight="1" x14ac:dyDescent="0.2"/>
    <row r="710" ht="14.25" customHeight="1" x14ac:dyDescent="0.2"/>
    <row r="711" ht="14.25" customHeight="1" x14ac:dyDescent="0.2"/>
    <row r="712" ht="14.25" customHeight="1" x14ac:dyDescent="0.2"/>
    <row r="713" ht="14.25" customHeight="1" x14ac:dyDescent="0.2"/>
    <row r="714" ht="14.25" customHeight="1" x14ac:dyDescent="0.2"/>
    <row r="715" ht="14.25" customHeight="1" x14ac:dyDescent="0.2"/>
    <row r="716" ht="14.25" customHeight="1" x14ac:dyDescent="0.2"/>
    <row r="717" ht="14.25" customHeight="1" x14ac:dyDescent="0.2"/>
    <row r="718" ht="14.25" customHeight="1" x14ac:dyDescent="0.2"/>
    <row r="719" ht="14.25" customHeight="1" x14ac:dyDescent="0.2"/>
    <row r="720" ht="14.25" customHeight="1" x14ac:dyDescent="0.2"/>
    <row r="721" ht="14.25" customHeight="1" x14ac:dyDescent="0.2"/>
    <row r="722" ht="14.25" customHeight="1" x14ac:dyDescent="0.2"/>
    <row r="723" ht="14.25" customHeight="1" x14ac:dyDescent="0.2"/>
    <row r="724" ht="14.25" customHeight="1" x14ac:dyDescent="0.2"/>
    <row r="725" ht="14.25" customHeight="1" x14ac:dyDescent="0.2"/>
    <row r="726" ht="14.25" customHeight="1" x14ac:dyDescent="0.2"/>
    <row r="727" ht="14.25" customHeight="1" x14ac:dyDescent="0.2"/>
    <row r="728" ht="14.25" customHeight="1" x14ac:dyDescent="0.2"/>
    <row r="729" ht="14.25" customHeight="1" x14ac:dyDescent="0.2"/>
    <row r="730" ht="14.25" customHeight="1" x14ac:dyDescent="0.2"/>
    <row r="731" ht="14.25" customHeight="1" x14ac:dyDescent="0.2"/>
    <row r="732" ht="14.25" customHeight="1" x14ac:dyDescent="0.2"/>
    <row r="733" ht="14.25" customHeight="1" x14ac:dyDescent="0.2"/>
    <row r="734" ht="14.25" customHeight="1" x14ac:dyDescent="0.2"/>
    <row r="735" ht="14.25" customHeight="1" x14ac:dyDescent="0.2"/>
    <row r="736" ht="14.25" customHeight="1" x14ac:dyDescent="0.2"/>
    <row r="737" ht="14.25" customHeight="1" x14ac:dyDescent="0.2"/>
    <row r="738" ht="14.25" customHeight="1" x14ac:dyDescent="0.2"/>
    <row r="739" ht="14.25" customHeight="1" x14ac:dyDescent="0.2"/>
    <row r="740" ht="14.25" customHeight="1" x14ac:dyDescent="0.2"/>
    <row r="741" ht="14.25" customHeight="1" x14ac:dyDescent="0.2"/>
    <row r="742" ht="14.25" customHeight="1" x14ac:dyDescent="0.2"/>
    <row r="743" ht="14.25" customHeight="1" x14ac:dyDescent="0.2"/>
    <row r="744" ht="14.25" customHeight="1" x14ac:dyDescent="0.2"/>
    <row r="745" ht="14.25" customHeight="1" x14ac:dyDescent="0.2"/>
    <row r="746" ht="14.25" customHeight="1" x14ac:dyDescent="0.2"/>
    <row r="747" ht="14.25" customHeight="1" x14ac:dyDescent="0.2"/>
    <row r="748" ht="14.25" customHeight="1" x14ac:dyDescent="0.2"/>
    <row r="749" ht="14.25" customHeight="1" x14ac:dyDescent="0.2"/>
    <row r="750" ht="14.25" customHeight="1" x14ac:dyDescent="0.2"/>
    <row r="751" ht="14.25" customHeight="1" x14ac:dyDescent="0.2"/>
    <row r="752" ht="14.25" customHeight="1" x14ac:dyDescent="0.2"/>
    <row r="753" ht="14.25" customHeight="1" x14ac:dyDescent="0.2"/>
    <row r="754" ht="14.25" customHeight="1" x14ac:dyDescent="0.2"/>
    <row r="755" ht="14.25" customHeight="1" x14ac:dyDescent="0.2"/>
    <row r="756" ht="14.25" customHeight="1" x14ac:dyDescent="0.2"/>
    <row r="757" ht="14.25" customHeight="1" x14ac:dyDescent="0.2"/>
    <row r="758" ht="14.25" customHeight="1" x14ac:dyDescent="0.2"/>
    <row r="759" ht="14.25" customHeight="1" x14ac:dyDescent="0.2"/>
    <row r="760" ht="14.25" customHeight="1" x14ac:dyDescent="0.2"/>
    <row r="761" ht="14.25" customHeight="1" x14ac:dyDescent="0.2"/>
    <row r="762" ht="14.25" customHeight="1" x14ac:dyDescent="0.2"/>
    <row r="763" ht="14.25" customHeight="1" x14ac:dyDescent="0.2"/>
    <row r="764" ht="14.25" customHeight="1" x14ac:dyDescent="0.2"/>
    <row r="765" ht="14.25" customHeight="1" x14ac:dyDescent="0.2"/>
    <row r="766" ht="14.25" customHeight="1" x14ac:dyDescent="0.2"/>
    <row r="767" ht="14.25" customHeight="1" x14ac:dyDescent="0.2"/>
    <row r="768" ht="14.25" customHeight="1" x14ac:dyDescent="0.2"/>
    <row r="769" ht="14.25" customHeight="1" x14ac:dyDescent="0.2"/>
    <row r="770" ht="14.25" customHeight="1" x14ac:dyDescent="0.2"/>
    <row r="771" ht="14.25" customHeight="1" x14ac:dyDescent="0.2"/>
    <row r="772" ht="14.25" customHeight="1" x14ac:dyDescent="0.2"/>
    <row r="773" ht="14.25" customHeight="1" x14ac:dyDescent="0.2"/>
    <row r="774" ht="14.25" customHeight="1" x14ac:dyDescent="0.2"/>
    <row r="775" ht="14.25" customHeight="1" x14ac:dyDescent="0.2"/>
    <row r="776" ht="14.25" customHeight="1" x14ac:dyDescent="0.2"/>
    <row r="777" ht="14.25" customHeight="1" x14ac:dyDescent="0.2"/>
    <row r="778" ht="14.25" customHeight="1" x14ac:dyDescent="0.2"/>
    <row r="779" ht="14.25" customHeight="1" x14ac:dyDescent="0.2"/>
    <row r="780" ht="14.25" customHeight="1" x14ac:dyDescent="0.2"/>
    <row r="781" ht="14.25" customHeight="1" x14ac:dyDescent="0.2"/>
    <row r="782" ht="14.25" customHeight="1" x14ac:dyDescent="0.2"/>
    <row r="783" ht="14.25" customHeight="1" x14ac:dyDescent="0.2"/>
    <row r="784" ht="14.25" customHeight="1" x14ac:dyDescent="0.2"/>
    <row r="785" ht="14.25" customHeight="1" x14ac:dyDescent="0.2"/>
    <row r="786" ht="14.25" customHeight="1" x14ac:dyDescent="0.2"/>
    <row r="787" ht="14.25" customHeight="1" x14ac:dyDescent="0.2"/>
    <row r="788" ht="14.25" customHeight="1" x14ac:dyDescent="0.2"/>
    <row r="789" ht="14.25" customHeight="1" x14ac:dyDescent="0.2"/>
    <row r="790" ht="14.25" customHeight="1" x14ac:dyDescent="0.2"/>
    <row r="791" ht="14.25" customHeight="1" x14ac:dyDescent="0.2"/>
    <row r="792" ht="14.25" customHeight="1" x14ac:dyDescent="0.2"/>
    <row r="793" ht="14.25" customHeight="1" x14ac:dyDescent="0.2"/>
    <row r="794" ht="14.25" customHeight="1" x14ac:dyDescent="0.2"/>
    <row r="795" ht="14.25" customHeight="1" x14ac:dyDescent="0.2"/>
    <row r="796" ht="14.25" customHeight="1" x14ac:dyDescent="0.2"/>
    <row r="797" ht="14.25" customHeight="1" x14ac:dyDescent="0.2"/>
    <row r="798" ht="14.25" customHeight="1" x14ac:dyDescent="0.2"/>
    <row r="799" ht="14.25" customHeight="1" x14ac:dyDescent="0.2"/>
    <row r="800" ht="14.25" customHeight="1" x14ac:dyDescent="0.2"/>
    <row r="801" ht="14.25" customHeight="1" x14ac:dyDescent="0.2"/>
    <row r="802" ht="14.25" customHeight="1" x14ac:dyDescent="0.2"/>
    <row r="803" ht="14.25" customHeight="1" x14ac:dyDescent="0.2"/>
    <row r="804" ht="14.25" customHeight="1" x14ac:dyDescent="0.2"/>
    <row r="805" ht="14.25" customHeight="1" x14ac:dyDescent="0.2"/>
    <row r="806" ht="14.25" customHeight="1" x14ac:dyDescent="0.2"/>
    <row r="807" ht="14.25" customHeight="1" x14ac:dyDescent="0.2"/>
    <row r="808" ht="14.25" customHeight="1" x14ac:dyDescent="0.2"/>
    <row r="809" ht="14.25" customHeight="1" x14ac:dyDescent="0.2"/>
    <row r="810" ht="14.25" customHeight="1" x14ac:dyDescent="0.2"/>
    <row r="811" ht="14.25" customHeight="1" x14ac:dyDescent="0.2"/>
    <row r="812" ht="14.25" customHeight="1" x14ac:dyDescent="0.2"/>
    <row r="813" ht="14.25" customHeight="1" x14ac:dyDescent="0.2"/>
    <row r="814" ht="14.25" customHeight="1" x14ac:dyDescent="0.2"/>
    <row r="815" ht="14.25" customHeight="1" x14ac:dyDescent="0.2"/>
    <row r="816" ht="14.25" customHeight="1" x14ac:dyDescent="0.2"/>
    <row r="817" ht="14.25" customHeight="1" x14ac:dyDescent="0.2"/>
    <row r="818" ht="14.25" customHeight="1" x14ac:dyDescent="0.2"/>
    <row r="819" ht="14.25" customHeight="1" x14ac:dyDescent="0.2"/>
    <row r="820" ht="14.25" customHeight="1" x14ac:dyDescent="0.2"/>
    <row r="821" ht="14.25" customHeight="1" x14ac:dyDescent="0.2"/>
    <row r="822" ht="14.25" customHeight="1" x14ac:dyDescent="0.2"/>
    <row r="823" ht="14.25" customHeight="1" x14ac:dyDescent="0.2"/>
    <row r="824" ht="14.25" customHeight="1" x14ac:dyDescent="0.2"/>
    <row r="825" ht="14.25" customHeight="1" x14ac:dyDescent="0.2"/>
    <row r="826" ht="14.25" customHeight="1" x14ac:dyDescent="0.2"/>
    <row r="827" ht="14.25" customHeight="1" x14ac:dyDescent="0.2"/>
    <row r="828" ht="14.25" customHeight="1" x14ac:dyDescent="0.2"/>
    <row r="829" ht="14.25" customHeight="1" x14ac:dyDescent="0.2"/>
    <row r="830" ht="14.25" customHeight="1" x14ac:dyDescent="0.2"/>
    <row r="831" ht="14.25" customHeight="1" x14ac:dyDescent="0.2"/>
    <row r="832" ht="14.25" customHeight="1" x14ac:dyDescent="0.2"/>
    <row r="833" ht="14.25" customHeight="1" x14ac:dyDescent="0.2"/>
    <row r="834" ht="14.25" customHeight="1" x14ac:dyDescent="0.2"/>
    <row r="835" ht="14.25" customHeight="1" x14ac:dyDescent="0.2"/>
    <row r="836" ht="14.25" customHeight="1" x14ac:dyDescent="0.2"/>
    <row r="837" ht="14.25" customHeight="1" x14ac:dyDescent="0.2"/>
    <row r="838" ht="14.25" customHeight="1" x14ac:dyDescent="0.2"/>
  </sheetData>
  <conditionalFormatting sqref="V3:Z6 V13:X16 V12 V8:X11 V7 V2:W2 Y2:Z2 AA4:AB6 AA9:AB11 AA14:AB16 AA19:AB21 AA24:AB26 AA29:AB31 AA34:AB36 AA39:AB41 AA44:AB46 AA49:AB51 AA54:AB56 AA59:AB61 AA64:AB66 AA69:AB71 AA74:AB76 AA79:AB81 AA84:AB86 AA89:AB91 AA94:AB96 AA99:AB101 AA104:AB106 AA109:AB111 AA114:AB116 AA119:AB121 AA124:AB126 AA129:AB131 AA134:AB136 AA139:AB141 AA144:AB146 Z13:Z16 Z8:Z11 AA149:AB151 AA154:AB156 AA159:AB161 AA164:AB166 AA169:AB171 AA174:AB176 AA179:AB181 AA184:AB186 AA189:AB191 AA194:AB196 AA199:AB201 AA204:AB206 AA209:AB211 AA214:AB216 AA219:AB221 AA224:AB226 AA229:AB231 AA234:AB236 AA239:AB241 AA244:AB246 AA249:AB251 AA254:AB256 AA259:AB261 AA264:AB266 AA269:AB271 AA274:AB276 AA279:AB281 AA284:AB286 AA289:AB291 AA294:AB296 AA299:AB301 AA304:AB306 AA309:AB311 AA314:AB316 AA319:AB321 AA324:AB326 AA329:AB331 AA334:AB336 AA339:AB341 AA344:AB346 AA349:AB351 AA354:AB356 AA359:AB361 AA364:AB366">
    <cfRule type="cellIs" dxfId="471" priority="1831" operator="greaterThan">
      <formula>0</formula>
    </cfRule>
    <cfRule type="cellIs" dxfId="470" priority="1832" operator="lessThan">
      <formula>0</formula>
    </cfRule>
  </conditionalFormatting>
  <conditionalFormatting sqref="M2:M16">
    <cfRule type="cellIs" dxfId="469" priority="1795" operator="lessThan">
      <formula>0</formula>
    </cfRule>
    <cfRule type="cellIs" dxfId="468" priority="1796" operator="greaterThan">
      <formula>0</formula>
    </cfRule>
  </conditionalFormatting>
  <conditionalFormatting sqref="AB7">
    <cfRule type="cellIs" dxfId="467" priority="1769" operator="greaterThan">
      <formula>0</formula>
    </cfRule>
    <cfRule type="cellIs" dxfId="466" priority="1770" operator="lessThan">
      <formula>0</formula>
    </cfRule>
  </conditionalFormatting>
  <conditionalFormatting sqref="AB12">
    <cfRule type="cellIs" dxfId="465" priority="1767" operator="greaterThan">
      <formula>0</formula>
    </cfRule>
    <cfRule type="cellIs" dxfId="464" priority="1768" operator="lessThan">
      <formula>0</formula>
    </cfRule>
  </conditionalFormatting>
  <conditionalFormatting sqref="AA7">
    <cfRule type="cellIs" dxfId="463" priority="1379" operator="greaterThan">
      <formula>0</formula>
    </cfRule>
    <cfRule type="cellIs" dxfId="462" priority="1380" operator="lessThan">
      <formula>0</formula>
    </cfRule>
  </conditionalFormatting>
  <conditionalFormatting sqref="W12">
    <cfRule type="cellIs" dxfId="461" priority="1393" operator="greaterThan">
      <formula>0</formula>
    </cfRule>
    <cfRule type="cellIs" dxfId="460" priority="1394" operator="lessThan">
      <formula>0</formula>
    </cfRule>
  </conditionalFormatting>
  <conditionalFormatting sqref="X7">
    <cfRule type="cellIs" dxfId="459" priority="1385" operator="greaterThan">
      <formula>0</formula>
    </cfRule>
    <cfRule type="cellIs" dxfId="458" priority="1386" operator="lessThan">
      <formula>0</formula>
    </cfRule>
  </conditionalFormatting>
  <conditionalFormatting sqref="W7">
    <cfRule type="cellIs" dxfId="457" priority="1387" operator="greaterThan">
      <formula>0</formula>
    </cfRule>
    <cfRule type="cellIs" dxfId="456" priority="1388" operator="lessThan">
      <formula>0</formula>
    </cfRule>
  </conditionalFormatting>
  <conditionalFormatting sqref="AA12">
    <cfRule type="cellIs" dxfId="455" priority="1381" operator="greaterThan">
      <formula>0</formula>
    </cfRule>
    <cfRule type="cellIs" dxfId="454" priority="1382" operator="lessThan">
      <formula>0</formula>
    </cfRule>
  </conditionalFormatting>
  <conditionalFormatting sqref="V18:X21 V17">
    <cfRule type="cellIs" dxfId="453" priority="915" operator="greaterThan">
      <formula>0</formula>
    </cfRule>
    <cfRule type="cellIs" dxfId="452" priority="916" operator="lessThan">
      <formula>0</formula>
    </cfRule>
  </conditionalFormatting>
  <conditionalFormatting sqref="M17:M21">
    <cfRule type="cellIs" dxfId="451" priority="913" operator="lessThan">
      <formula>0</formula>
    </cfRule>
    <cfRule type="cellIs" dxfId="450" priority="914" operator="greaterThan">
      <formula>0</formula>
    </cfRule>
  </conditionalFormatting>
  <conditionalFormatting sqref="AB17">
    <cfRule type="cellIs" dxfId="449" priority="911" operator="greaterThan">
      <formula>0</formula>
    </cfRule>
    <cfRule type="cellIs" dxfId="448" priority="912" operator="lessThan">
      <formula>0</formula>
    </cfRule>
  </conditionalFormatting>
  <conditionalFormatting sqref="W17">
    <cfRule type="cellIs" dxfId="447" priority="909" operator="greaterThan">
      <formula>0</formula>
    </cfRule>
    <cfRule type="cellIs" dxfId="446" priority="910" operator="lessThan">
      <formula>0</formula>
    </cfRule>
  </conditionalFormatting>
  <conditionalFormatting sqref="AB52">
    <cfRule type="cellIs" dxfId="445" priority="813" operator="greaterThan">
      <formula>0</formula>
    </cfRule>
    <cfRule type="cellIs" dxfId="444" priority="814" operator="lessThan">
      <formula>0</formula>
    </cfRule>
  </conditionalFormatting>
  <conditionalFormatting sqref="AA17">
    <cfRule type="cellIs" dxfId="443" priority="905" operator="greaterThan">
      <formula>0</formula>
    </cfRule>
    <cfRule type="cellIs" dxfId="442" priority="906" operator="lessThan">
      <formula>0</formula>
    </cfRule>
  </conditionalFormatting>
  <conditionalFormatting sqref="AA37">
    <cfRule type="cellIs" dxfId="441" priority="849" operator="greaterThan">
      <formula>0</formula>
    </cfRule>
    <cfRule type="cellIs" dxfId="440" priority="850" operator="lessThan">
      <formula>0</formula>
    </cfRule>
  </conditionalFormatting>
  <conditionalFormatting sqref="V23:X26 V22">
    <cfRule type="cellIs" dxfId="439" priority="901" operator="greaterThan">
      <formula>0</formula>
    </cfRule>
    <cfRule type="cellIs" dxfId="438" priority="902" operator="lessThan">
      <formula>0</formula>
    </cfRule>
  </conditionalFormatting>
  <conditionalFormatting sqref="M22:M26">
    <cfRule type="cellIs" dxfId="437" priority="899" operator="lessThan">
      <formula>0</formula>
    </cfRule>
    <cfRule type="cellIs" dxfId="436" priority="900" operator="greaterThan">
      <formula>0</formula>
    </cfRule>
  </conditionalFormatting>
  <conditionalFormatting sqref="AB22">
    <cfRule type="cellIs" dxfId="435" priority="897" operator="greaterThan">
      <formula>0</formula>
    </cfRule>
    <cfRule type="cellIs" dxfId="434" priority="898" operator="lessThan">
      <formula>0</formula>
    </cfRule>
  </conditionalFormatting>
  <conditionalFormatting sqref="W22">
    <cfRule type="cellIs" dxfId="433" priority="895" operator="greaterThan">
      <formula>0</formula>
    </cfRule>
    <cfRule type="cellIs" dxfId="432" priority="896" operator="lessThan">
      <formula>0</formula>
    </cfRule>
  </conditionalFormatting>
  <conditionalFormatting sqref="AA22">
    <cfRule type="cellIs" dxfId="431" priority="891" operator="greaterThan">
      <formula>0</formula>
    </cfRule>
    <cfRule type="cellIs" dxfId="430" priority="892" operator="lessThan">
      <formula>0</formula>
    </cfRule>
  </conditionalFormatting>
  <conditionalFormatting sqref="AA42">
    <cfRule type="cellIs" dxfId="429" priority="835" operator="greaterThan">
      <formula>0</formula>
    </cfRule>
    <cfRule type="cellIs" dxfId="428" priority="836" operator="lessThan">
      <formula>0</formula>
    </cfRule>
  </conditionalFormatting>
  <conditionalFormatting sqref="V28:W31 V27">
    <cfRule type="cellIs" dxfId="427" priority="887" operator="greaterThan">
      <formula>0</formula>
    </cfRule>
    <cfRule type="cellIs" dxfId="426" priority="888" operator="lessThan">
      <formula>0</formula>
    </cfRule>
  </conditionalFormatting>
  <conditionalFormatting sqref="M27:M31">
    <cfRule type="cellIs" dxfId="425" priority="885" operator="lessThan">
      <formula>0</formula>
    </cfRule>
    <cfRule type="cellIs" dxfId="424" priority="886" operator="greaterThan">
      <formula>0</formula>
    </cfRule>
  </conditionalFormatting>
  <conditionalFormatting sqref="AB27">
    <cfRule type="cellIs" dxfId="423" priority="883" operator="greaterThan">
      <formula>0</formula>
    </cfRule>
    <cfRule type="cellIs" dxfId="422" priority="884" operator="lessThan">
      <formula>0</formula>
    </cfRule>
  </conditionalFormatting>
  <conditionalFormatting sqref="W27">
    <cfRule type="cellIs" dxfId="421" priority="881" operator="greaterThan">
      <formula>0</formula>
    </cfRule>
    <cfRule type="cellIs" dxfId="420" priority="882" operator="lessThan">
      <formula>0</formula>
    </cfRule>
  </conditionalFormatting>
  <conditionalFormatting sqref="V63:W66 V62">
    <cfRule type="cellIs" dxfId="419" priority="789" operator="greaterThan">
      <formula>0</formula>
    </cfRule>
    <cfRule type="cellIs" dxfId="418" priority="790" operator="lessThan">
      <formula>0</formula>
    </cfRule>
  </conditionalFormatting>
  <conditionalFormatting sqref="AA27">
    <cfRule type="cellIs" dxfId="417" priority="877" operator="greaterThan">
      <formula>0</formula>
    </cfRule>
    <cfRule type="cellIs" dxfId="416" priority="878" operator="lessThan">
      <formula>0</formula>
    </cfRule>
  </conditionalFormatting>
  <conditionalFormatting sqref="AA47">
    <cfRule type="cellIs" dxfId="415" priority="821" operator="greaterThan">
      <formula>0</formula>
    </cfRule>
    <cfRule type="cellIs" dxfId="414" priority="822" operator="lessThan">
      <formula>0</formula>
    </cfRule>
  </conditionalFormatting>
  <conditionalFormatting sqref="V33:W36 V32">
    <cfRule type="cellIs" dxfId="413" priority="873" operator="greaterThan">
      <formula>0</formula>
    </cfRule>
    <cfRule type="cellIs" dxfId="412" priority="874" operator="lessThan">
      <formula>0</formula>
    </cfRule>
  </conditionalFormatting>
  <conditionalFormatting sqref="M32:M36">
    <cfRule type="cellIs" dxfId="411" priority="871" operator="lessThan">
      <formula>0</formula>
    </cfRule>
    <cfRule type="cellIs" dxfId="410" priority="872" operator="greaterThan">
      <formula>0</formula>
    </cfRule>
  </conditionalFormatting>
  <conditionalFormatting sqref="AB32">
    <cfRule type="cellIs" dxfId="409" priority="869" operator="greaterThan">
      <formula>0</formula>
    </cfRule>
    <cfRule type="cellIs" dxfId="408" priority="870" operator="lessThan">
      <formula>0</formula>
    </cfRule>
  </conditionalFormatting>
  <conditionalFormatting sqref="W32">
    <cfRule type="cellIs" dxfId="407" priority="867" operator="greaterThan">
      <formula>0</formula>
    </cfRule>
    <cfRule type="cellIs" dxfId="406" priority="868" operator="lessThan">
      <formula>0</formula>
    </cfRule>
  </conditionalFormatting>
  <conditionalFormatting sqref="V68:X71 V67">
    <cfRule type="cellIs" dxfId="405" priority="775" operator="greaterThan">
      <formula>0</formula>
    </cfRule>
    <cfRule type="cellIs" dxfId="404" priority="776" operator="lessThan">
      <formula>0</formula>
    </cfRule>
  </conditionalFormatting>
  <conditionalFormatting sqref="AA32">
    <cfRule type="cellIs" dxfId="403" priority="863" operator="greaterThan">
      <formula>0</formula>
    </cfRule>
    <cfRule type="cellIs" dxfId="402" priority="864" operator="lessThan">
      <formula>0</formula>
    </cfRule>
  </conditionalFormatting>
  <conditionalFormatting sqref="V38:X41 V37">
    <cfRule type="cellIs" dxfId="401" priority="859" operator="greaterThan">
      <formula>0</formula>
    </cfRule>
    <cfRule type="cellIs" dxfId="400" priority="860" operator="lessThan">
      <formula>0</formula>
    </cfRule>
  </conditionalFormatting>
  <conditionalFormatting sqref="M37:M41">
    <cfRule type="cellIs" dxfId="399" priority="857" operator="lessThan">
      <formula>0</formula>
    </cfRule>
    <cfRule type="cellIs" dxfId="398" priority="858" operator="greaterThan">
      <formula>0</formula>
    </cfRule>
  </conditionalFormatting>
  <conditionalFormatting sqref="AB37">
    <cfRule type="cellIs" dxfId="397" priority="855" operator="greaterThan">
      <formula>0</formula>
    </cfRule>
    <cfRule type="cellIs" dxfId="396" priority="856" operator="lessThan">
      <formula>0</formula>
    </cfRule>
  </conditionalFormatting>
  <conditionalFormatting sqref="W37">
    <cfRule type="cellIs" dxfId="395" priority="853" operator="greaterThan">
      <formula>0</formula>
    </cfRule>
    <cfRule type="cellIs" dxfId="394" priority="854" operator="lessThan">
      <formula>0</formula>
    </cfRule>
  </conditionalFormatting>
  <conditionalFormatting sqref="V73:W76 V72">
    <cfRule type="cellIs" dxfId="393" priority="761" operator="greaterThan">
      <formula>0</formula>
    </cfRule>
    <cfRule type="cellIs" dxfId="392" priority="762" operator="lessThan">
      <formula>0</formula>
    </cfRule>
  </conditionalFormatting>
  <conditionalFormatting sqref="AB57">
    <cfRule type="cellIs" dxfId="391" priority="799" operator="greaterThan">
      <formula>0</formula>
    </cfRule>
    <cfRule type="cellIs" dxfId="390" priority="800" operator="lessThan">
      <formula>0</formula>
    </cfRule>
  </conditionalFormatting>
  <conditionalFormatting sqref="V43:W46 V42">
    <cfRule type="cellIs" dxfId="389" priority="845" operator="greaterThan">
      <formula>0</formula>
    </cfRule>
    <cfRule type="cellIs" dxfId="388" priority="846" operator="lessThan">
      <formula>0</formula>
    </cfRule>
  </conditionalFormatting>
  <conditionalFormatting sqref="M42:M46">
    <cfRule type="cellIs" dxfId="387" priority="843" operator="lessThan">
      <formula>0</formula>
    </cfRule>
    <cfRule type="cellIs" dxfId="386" priority="844" operator="greaterThan">
      <formula>0</formula>
    </cfRule>
  </conditionalFormatting>
  <conditionalFormatting sqref="AB42">
    <cfRule type="cellIs" dxfId="385" priority="841" operator="greaterThan">
      <formula>0</formula>
    </cfRule>
    <cfRule type="cellIs" dxfId="384" priority="842" operator="lessThan">
      <formula>0</formula>
    </cfRule>
  </conditionalFormatting>
  <conditionalFormatting sqref="W42">
    <cfRule type="cellIs" dxfId="383" priority="839" operator="greaterThan">
      <formula>0</formula>
    </cfRule>
    <cfRule type="cellIs" dxfId="382" priority="840" operator="lessThan">
      <formula>0</formula>
    </cfRule>
  </conditionalFormatting>
  <conditionalFormatting sqref="AB72">
    <cfRule type="cellIs" dxfId="381" priority="757" operator="greaterThan">
      <formula>0</formula>
    </cfRule>
    <cfRule type="cellIs" dxfId="380" priority="758" operator="lessThan">
      <formula>0</formula>
    </cfRule>
  </conditionalFormatting>
  <conditionalFormatting sqref="AB62">
    <cfRule type="cellIs" dxfId="379" priority="785" operator="greaterThan">
      <formula>0</formula>
    </cfRule>
    <cfRule type="cellIs" dxfId="378" priority="786" operator="lessThan">
      <formula>0</formula>
    </cfRule>
  </conditionalFormatting>
  <conditionalFormatting sqref="V48:W51 V47">
    <cfRule type="cellIs" dxfId="377" priority="831" operator="greaterThan">
      <formula>0</formula>
    </cfRule>
    <cfRule type="cellIs" dxfId="376" priority="832" operator="lessThan">
      <formula>0</formula>
    </cfRule>
  </conditionalFormatting>
  <conditionalFormatting sqref="M47:M51">
    <cfRule type="cellIs" dxfId="375" priority="829" operator="lessThan">
      <formula>0</formula>
    </cfRule>
    <cfRule type="cellIs" dxfId="374" priority="830" operator="greaterThan">
      <formula>0</formula>
    </cfRule>
  </conditionalFormatting>
  <conditionalFormatting sqref="AB47">
    <cfRule type="cellIs" dxfId="373" priority="827" operator="greaterThan">
      <formula>0</formula>
    </cfRule>
    <cfRule type="cellIs" dxfId="372" priority="828" operator="lessThan">
      <formula>0</formula>
    </cfRule>
  </conditionalFormatting>
  <conditionalFormatting sqref="W47">
    <cfRule type="cellIs" dxfId="371" priority="825" operator="greaterThan">
      <formula>0</formula>
    </cfRule>
    <cfRule type="cellIs" dxfId="370" priority="826" operator="lessThan">
      <formula>0</formula>
    </cfRule>
  </conditionalFormatting>
  <conditionalFormatting sqref="AB77">
    <cfRule type="cellIs" dxfId="369" priority="743" operator="greaterThan">
      <formula>0</formula>
    </cfRule>
    <cfRule type="cellIs" dxfId="368" priority="744" operator="lessThan">
      <formula>0</formula>
    </cfRule>
  </conditionalFormatting>
  <conditionalFormatting sqref="V53:X56 V52">
    <cfRule type="cellIs" dxfId="367" priority="817" operator="greaterThan">
      <formula>0</formula>
    </cfRule>
    <cfRule type="cellIs" dxfId="366" priority="818" operator="lessThan">
      <formula>0</formula>
    </cfRule>
  </conditionalFormatting>
  <conditionalFormatting sqref="M52:M56">
    <cfRule type="cellIs" dxfId="365" priority="815" operator="lessThan">
      <formula>0</formula>
    </cfRule>
    <cfRule type="cellIs" dxfId="364" priority="816" operator="greaterThan">
      <formula>0</formula>
    </cfRule>
  </conditionalFormatting>
  <conditionalFormatting sqref="W52">
    <cfRule type="cellIs" dxfId="363" priority="811" operator="greaterThan">
      <formula>0</formula>
    </cfRule>
    <cfRule type="cellIs" dxfId="362" priority="812" operator="lessThan">
      <formula>0</formula>
    </cfRule>
  </conditionalFormatting>
  <conditionalFormatting sqref="AB82">
    <cfRule type="cellIs" dxfId="361" priority="729" operator="greaterThan">
      <formula>0</formula>
    </cfRule>
    <cfRule type="cellIs" dxfId="360" priority="730" operator="lessThan">
      <formula>0</formula>
    </cfRule>
  </conditionalFormatting>
  <conditionalFormatting sqref="AA52">
    <cfRule type="cellIs" dxfId="359" priority="807" operator="greaterThan">
      <formula>0</formula>
    </cfRule>
    <cfRule type="cellIs" dxfId="358" priority="808" operator="lessThan">
      <formula>0</formula>
    </cfRule>
  </conditionalFormatting>
  <conditionalFormatting sqref="V58:W61 V57">
    <cfRule type="cellIs" dxfId="357" priority="803" operator="greaterThan">
      <formula>0</formula>
    </cfRule>
    <cfRule type="cellIs" dxfId="356" priority="804" operator="lessThan">
      <formula>0</formula>
    </cfRule>
  </conditionalFormatting>
  <conditionalFormatting sqref="M57:M61">
    <cfRule type="cellIs" dxfId="355" priority="801" operator="lessThan">
      <formula>0</formula>
    </cfRule>
    <cfRule type="cellIs" dxfId="354" priority="802" operator="greaterThan">
      <formula>0</formula>
    </cfRule>
  </conditionalFormatting>
  <conditionalFormatting sqref="W57">
    <cfRule type="cellIs" dxfId="353" priority="797" operator="greaterThan">
      <formula>0</formula>
    </cfRule>
    <cfRule type="cellIs" dxfId="352" priority="798" operator="lessThan">
      <formula>0</formula>
    </cfRule>
  </conditionalFormatting>
  <conditionalFormatting sqref="AA57">
    <cfRule type="cellIs" dxfId="351" priority="793" operator="greaterThan">
      <formula>0</formula>
    </cfRule>
    <cfRule type="cellIs" dxfId="350" priority="794" operator="lessThan">
      <formula>0</formula>
    </cfRule>
  </conditionalFormatting>
  <conditionalFormatting sqref="M62:M66">
    <cfRule type="cellIs" dxfId="349" priority="787" operator="lessThan">
      <formula>0</formula>
    </cfRule>
    <cfRule type="cellIs" dxfId="348" priority="788" operator="greaterThan">
      <formula>0</formula>
    </cfRule>
  </conditionalFormatting>
  <conditionalFormatting sqref="W62">
    <cfRule type="cellIs" dxfId="347" priority="783" operator="greaterThan">
      <formula>0</formula>
    </cfRule>
    <cfRule type="cellIs" dxfId="346" priority="784" operator="lessThan">
      <formula>0</formula>
    </cfRule>
  </conditionalFormatting>
  <conditionalFormatting sqref="AA62">
    <cfRule type="cellIs" dxfId="345" priority="779" operator="greaterThan">
      <formula>0</formula>
    </cfRule>
    <cfRule type="cellIs" dxfId="344" priority="780" operator="lessThan">
      <formula>0</formula>
    </cfRule>
  </conditionalFormatting>
  <conditionalFormatting sqref="W77">
    <cfRule type="cellIs" dxfId="343" priority="741" operator="greaterThan">
      <formula>0</formula>
    </cfRule>
    <cfRule type="cellIs" dxfId="342" priority="742" operator="lessThan">
      <formula>0</formula>
    </cfRule>
  </conditionalFormatting>
  <conditionalFormatting sqref="M67:M71">
    <cfRule type="cellIs" dxfId="341" priority="773" operator="lessThan">
      <formula>0</formula>
    </cfRule>
    <cfRule type="cellIs" dxfId="340" priority="774" operator="greaterThan">
      <formula>0</formula>
    </cfRule>
  </conditionalFormatting>
  <conditionalFormatting sqref="AB67">
    <cfRule type="cellIs" dxfId="339" priority="771" operator="greaterThan">
      <formula>0</formula>
    </cfRule>
    <cfRule type="cellIs" dxfId="338" priority="772" operator="lessThan">
      <formula>0</formula>
    </cfRule>
  </conditionalFormatting>
  <conditionalFormatting sqref="W67">
    <cfRule type="cellIs" dxfId="337" priority="769" operator="greaterThan">
      <formula>0</formula>
    </cfRule>
    <cfRule type="cellIs" dxfId="336" priority="770" operator="lessThan">
      <formula>0</formula>
    </cfRule>
  </conditionalFormatting>
  <conditionalFormatting sqref="AA67">
    <cfRule type="cellIs" dxfId="335" priority="765" operator="greaterThan">
      <formula>0</formula>
    </cfRule>
    <cfRule type="cellIs" dxfId="334" priority="766" operator="lessThan">
      <formula>0</formula>
    </cfRule>
  </conditionalFormatting>
  <conditionalFormatting sqref="W82">
    <cfRule type="cellIs" dxfId="333" priority="727" operator="greaterThan">
      <formula>0</formula>
    </cfRule>
    <cfRule type="cellIs" dxfId="332" priority="728" operator="lessThan">
      <formula>0</formula>
    </cfRule>
  </conditionalFormatting>
  <conditionalFormatting sqref="M72:M76">
    <cfRule type="cellIs" dxfId="331" priority="759" operator="lessThan">
      <formula>0</formula>
    </cfRule>
    <cfRule type="cellIs" dxfId="330" priority="760" operator="greaterThan">
      <formula>0</formula>
    </cfRule>
  </conditionalFormatting>
  <conditionalFormatting sqref="W72">
    <cfRule type="cellIs" dxfId="329" priority="755" operator="greaterThan">
      <formula>0</formula>
    </cfRule>
    <cfRule type="cellIs" dxfId="328" priority="756" operator="lessThan">
      <formula>0</formula>
    </cfRule>
  </conditionalFormatting>
  <conditionalFormatting sqref="AA72">
    <cfRule type="cellIs" dxfId="327" priority="751" operator="greaterThan">
      <formula>0</formula>
    </cfRule>
    <cfRule type="cellIs" dxfId="326" priority="752" operator="lessThan">
      <formula>0</formula>
    </cfRule>
  </conditionalFormatting>
  <conditionalFormatting sqref="W87">
    <cfRule type="cellIs" dxfId="325" priority="713" operator="greaterThan">
      <formula>0</formula>
    </cfRule>
    <cfRule type="cellIs" dxfId="324" priority="714" operator="lessThan">
      <formula>0</formula>
    </cfRule>
  </conditionalFormatting>
  <conditionalFormatting sqref="V78:W81 V77">
    <cfRule type="cellIs" dxfId="323" priority="747" operator="greaterThan">
      <formula>0</formula>
    </cfRule>
    <cfRule type="cellIs" dxfId="322" priority="748" operator="lessThan">
      <formula>0</formula>
    </cfRule>
  </conditionalFormatting>
  <conditionalFormatting sqref="M77:M81">
    <cfRule type="cellIs" dxfId="321" priority="745" operator="lessThan">
      <formula>0</formula>
    </cfRule>
    <cfRule type="cellIs" dxfId="320" priority="746" operator="greaterThan">
      <formula>0</formula>
    </cfRule>
  </conditionalFormatting>
  <conditionalFormatting sqref="AA77">
    <cfRule type="cellIs" dxfId="319" priority="737" operator="greaterThan">
      <formula>0</formula>
    </cfRule>
    <cfRule type="cellIs" dxfId="318" priority="738" operator="lessThan">
      <formula>0</formula>
    </cfRule>
  </conditionalFormatting>
  <conditionalFormatting sqref="V93:W96 V92">
    <cfRule type="cellIs" dxfId="317" priority="705" operator="greaterThan">
      <formula>0</formula>
    </cfRule>
    <cfRule type="cellIs" dxfId="316" priority="706" operator="lessThan">
      <formula>0</formula>
    </cfRule>
  </conditionalFormatting>
  <conditionalFormatting sqref="V83:X86 V82">
    <cfRule type="cellIs" dxfId="315" priority="733" operator="greaterThan">
      <formula>0</formula>
    </cfRule>
    <cfRule type="cellIs" dxfId="314" priority="734" operator="lessThan">
      <formula>0</formula>
    </cfRule>
  </conditionalFormatting>
  <conditionalFormatting sqref="M82:M86">
    <cfRule type="cellIs" dxfId="313" priority="731" operator="lessThan">
      <formula>0</formula>
    </cfRule>
    <cfRule type="cellIs" dxfId="312" priority="732" operator="greaterThan">
      <formula>0</formula>
    </cfRule>
  </conditionalFormatting>
  <conditionalFormatting sqref="AA82">
    <cfRule type="cellIs" dxfId="311" priority="723" operator="greaterThan">
      <formula>0</formula>
    </cfRule>
    <cfRule type="cellIs" dxfId="310" priority="724" operator="lessThan">
      <formula>0</formula>
    </cfRule>
  </conditionalFormatting>
  <conditionalFormatting sqref="V98:X101 V97">
    <cfRule type="cellIs" dxfId="309" priority="691" operator="greaterThan">
      <formula>0</formula>
    </cfRule>
    <cfRule type="cellIs" dxfId="308" priority="692" operator="lessThan">
      <formula>0</formula>
    </cfRule>
  </conditionalFormatting>
  <conditionalFormatting sqref="V88:W91 V87">
    <cfRule type="cellIs" dxfId="307" priority="719" operator="greaterThan">
      <formula>0</formula>
    </cfRule>
    <cfRule type="cellIs" dxfId="306" priority="720" operator="lessThan">
      <formula>0</formula>
    </cfRule>
  </conditionalFormatting>
  <conditionalFormatting sqref="M87:M91">
    <cfRule type="cellIs" dxfId="305" priority="717" operator="lessThan">
      <formula>0</formula>
    </cfRule>
    <cfRule type="cellIs" dxfId="304" priority="718" operator="greaterThan">
      <formula>0</formula>
    </cfRule>
  </conditionalFormatting>
  <conditionalFormatting sqref="AB87">
    <cfRule type="cellIs" dxfId="303" priority="715" operator="greaterThan">
      <formula>0</formula>
    </cfRule>
    <cfRule type="cellIs" dxfId="302" priority="716" operator="lessThan">
      <formula>0</formula>
    </cfRule>
  </conditionalFormatting>
  <conditionalFormatting sqref="AA87">
    <cfRule type="cellIs" dxfId="301" priority="709" operator="greaterThan">
      <formula>0</formula>
    </cfRule>
    <cfRule type="cellIs" dxfId="300" priority="710" operator="lessThan">
      <formula>0</formula>
    </cfRule>
  </conditionalFormatting>
  <conditionalFormatting sqref="V103:W106 V102">
    <cfRule type="cellIs" dxfId="299" priority="677" operator="greaterThan">
      <formula>0</formula>
    </cfRule>
    <cfRule type="cellIs" dxfId="298" priority="678" operator="lessThan">
      <formula>0</formula>
    </cfRule>
  </conditionalFormatting>
  <conditionalFormatting sqref="M92:M96">
    <cfRule type="cellIs" dxfId="297" priority="703" operator="lessThan">
      <formula>0</formula>
    </cfRule>
    <cfRule type="cellIs" dxfId="296" priority="704" operator="greaterThan">
      <formula>0</formula>
    </cfRule>
  </conditionalFormatting>
  <conditionalFormatting sqref="AB92">
    <cfRule type="cellIs" dxfId="295" priority="701" operator="greaterThan">
      <formula>0</formula>
    </cfRule>
    <cfRule type="cellIs" dxfId="294" priority="702" operator="lessThan">
      <formula>0</formula>
    </cfRule>
  </conditionalFormatting>
  <conditionalFormatting sqref="W92">
    <cfRule type="cellIs" dxfId="293" priority="699" operator="greaterThan">
      <formula>0</formula>
    </cfRule>
    <cfRule type="cellIs" dxfId="292" priority="700" operator="lessThan">
      <formula>0</formula>
    </cfRule>
  </conditionalFormatting>
  <conditionalFormatting sqref="AA92">
    <cfRule type="cellIs" dxfId="291" priority="695" operator="greaterThan">
      <formula>0</formula>
    </cfRule>
    <cfRule type="cellIs" dxfId="290" priority="696" operator="lessThan">
      <formula>0</formula>
    </cfRule>
  </conditionalFormatting>
  <conditionalFormatting sqref="W117">
    <cfRule type="cellIs" dxfId="289" priority="629" operator="greaterThan">
      <formula>0</formula>
    </cfRule>
    <cfRule type="cellIs" dxfId="288" priority="630" operator="lessThan">
      <formula>0</formula>
    </cfRule>
  </conditionalFormatting>
  <conditionalFormatting sqref="M97:M101">
    <cfRule type="cellIs" dxfId="287" priority="689" operator="lessThan">
      <formula>0</formula>
    </cfRule>
    <cfRule type="cellIs" dxfId="286" priority="690" operator="greaterThan">
      <formula>0</formula>
    </cfRule>
  </conditionalFormatting>
  <conditionalFormatting sqref="AB97">
    <cfRule type="cellIs" dxfId="285" priority="687" operator="greaterThan">
      <formula>0</formula>
    </cfRule>
    <cfRule type="cellIs" dxfId="284" priority="688" operator="lessThan">
      <formula>0</formula>
    </cfRule>
  </conditionalFormatting>
  <conditionalFormatting sqref="W97">
    <cfRule type="cellIs" dxfId="283" priority="685" operator="greaterThan">
      <formula>0</formula>
    </cfRule>
    <cfRule type="cellIs" dxfId="282" priority="686" operator="lessThan">
      <formula>0</formula>
    </cfRule>
  </conditionalFormatting>
  <conditionalFormatting sqref="AA97">
    <cfRule type="cellIs" dxfId="281" priority="681" operator="greaterThan">
      <formula>0</formula>
    </cfRule>
    <cfRule type="cellIs" dxfId="280" priority="682" operator="lessThan">
      <formula>0</formula>
    </cfRule>
  </conditionalFormatting>
  <conditionalFormatting sqref="W122">
    <cfRule type="cellIs" dxfId="279" priority="615" operator="greaterThan">
      <formula>0</formula>
    </cfRule>
    <cfRule type="cellIs" dxfId="278" priority="616" operator="lessThan">
      <formula>0</formula>
    </cfRule>
  </conditionalFormatting>
  <conditionalFormatting sqref="M102:M106">
    <cfRule type="cellIs" dxfId="277" priority="675" operator="lessThan">
      <formula>0</formula>
    </cfRule>
    <cfRule type="cellIs" dxfId="276" priority="676" operator="greaterThan">
      <formula>0</formula>
    </cfRule>
  </conditionalFormatting>
  <conditionalFormatting sqref="AB102">
    <cfRule type="cellIs" dxfId="275" priority="673" operator="greaterThan">
      <formula>0</formula>
    </cfRule>
    <cfRule type="cellIs" dxfId="274" priority="674" operator="lessThan">
      <formula>0</formula>
    </cfRule>
  </conditionalFormatting>
  <conditionalFormatting sqref="W102">
    <cfRule type="cellIs" dxfId="273" priority="671" operator="greaterThan">
      <formula>0</formula>
    </cfRule>
    <cfRule type="cellIs" dxfId="272" priority="672" operator="lessThan">
      <formula>0</formula>
    </cfRule>
  </conditionalFormatting>
  <conditionalFormatting sqref="AA102">
    <cfRule type="cellIs" dxfId="271" priority="667" operator="greaterThan">
      <formula>0</formula>
    </cfRule>
    <cfRule type="cellIs" dxfId="270" priority="668" operator="lessThan">
      <formula>0</formula>
    </cfRule>
  </conditionalFormatting>
  <conditionalFormatting sqref="W127">
    <cfRule type="cellIs" dxfId="269" priority="601" operator="greaterThan">
      <formula>0</formula>
    </cfRule>
    <cfRule type="cellIs" dxfId="268" priority="602" operator="lessThan">
      <formula>0</formula>
    </cfRule>
  </conditionalFormatting>
  <conditionalFormatting sqref="V108:W111 V107">
    <cfRule type="cellIs" dxfId="267" priority="663" operator="greaterThan">
      <formula>0</formula>
    </cfRule>
    <cfRule type="cellIs" dxfId="266" priority="664" operator="lessThan">
      <formula>0</formula>
    </cfRule>
  </conditionalFormatting>
  <conditionalFormatting sqref="M107:M111">
    <cfRule type="cellIs" dxfId="265" priority="661" operator="lessThan">
      <formula>0</formula>
    </cfRule>
    <cfRule type="cellIs" dxfId="264" priority="662" operator="greaterThan">
      <formula>0</formula>
    </cfRule>
  </conditionalFormatting>
  <conditionalFormatting sqref="AB107">
    <cfRule type="cellIs" dxfId="263" priority="659" operator="greaterThan">
      <formula>0</formula>
    </cfRule>
    <cfRule type="cellIs" dxfId="262" priority="660" operator="lessThan">
      <formula>0</formula>
    </cfRule>
  </conditionalFormatting>
  <conditionalFormatting sqref="W107">
    <cfRule type="cellIs" dxfId="261" priority="657" operator="greaterThan">
      <formula>0</formula>
    </cfRule>
    <cfRule type="cellIs" dxfId="260" priority="658" operator="lessThan">
      <formula>0</formula>
    </cfRule>
  </conditionalFormatting>
  <conditionalFormatting sqref="AA107">
    <cfRule type="cellIs" dxfId="259" priority="653" operator="greaterThan">
      <formula>0</formula>
    </cfRule>
    <cfRule type="cellIs" dxfId="258" priority="654" operator="lessThan">
      <formula>0</formula>
    </cfRule>
  </conditionalFormatting>
  <conditionalFormatting sqref="V113:X116 V112">
    <cfRule type="cellIs" dxfId="257" priority="649" operator="greaterThan">
      <formula>0</formula>
    </cfRule>
    <cfRule type="cellIs" dxfId="256" priority="650" operator="lessThan">
      <formula>0</formula>
    </cfRule>
  </conditionalFormatting>
  <conditionalFormatting sqref="M112:M116">
    <cfRule type="cellIs" dxfId="255" priority="647" operator="lessThan">
      <formula>0</formula>
    </cfRule>
    <cfRule type="cellIs" dxfId="254" priority="648" operator="greaterThan">
      <formula>0</formula>
    </cfRule>
  </conditionalFormatting>
  <conditionalFormatting sqref="AB112">
    <cfRule type="cellIs" dxfId="253" priority="645" operator="greaterThan">
      <formula>0</formula>
    </cfRule>
    <cfRule type="cellIs" dxfId="252" priority="646" operator="lessThan">
      <formula>0</formula>
    </cfRule>
  </conditionalFormatting>
  <conditionalFormatting sqref="W112">
    <cfRule type="cellIs" dxfId="251" priority="643" operator="greaterThan">
      <formula>0</formula>
    </cfRule>
    <cfRule type="cellIs" dxfId="250" priority="644" operator="lessThan">
      <formula>0</formula>
    </cfRule>
  </conditionalFormatting>
  <conditionalFormatting sqref="AA112">
    <cfRule type="cellIs" dxfId="249" priority="639" operator="greaterThan">
      <formula>0</formula>
    </cfRule>
    <cfRule type="cellIs" dxfId="248" priority="640" operator="lessThan">
      <formula>0</formula>
    </cfRule>
  </conditionalFormatting>
  <conditionalFormatting sqref="V118:W121 V117">
    <cfRule type="cellIs" dxfId="247" priority="635" operator="greaterThan">
      <formula>0</formula>
    </cfRule>
    <cfRule type="cellIs" dxfId="246" priority="636" operator="lessThan">
      <formula>0</formula>
    </cfRule>
  </conditionalFormatting>
  <conditionalFormatting sqref="M117:M121">
    <cfRule type="cellIs" dxfId="245" priority="633" operator="lessThan">
      <formula>0</formula>
    </cfRule>
    <cfRule type="cellIs" dxfId="244" priority="634" operator="greaterThan">
      <formula>0</formula>
    </cfRule>
  </conditionalFormatting>
  <conditionalFormatting sqref="AB117">
    <cfRule type="cellIs" dxfId="243" priority="631" operator="greaterThan">
      <formula>0</formula>
    </cfRule>
    <cfRule type="cellIs" dxfId="242" priority="632" operator="lessThan">
      <formula>0</formula>
    </cfRule>
  </conditionalFormatting>
  <conditionalFormatting sqref="AA127">
    <cfRule type="cellIs" dxfId="241" priority="597" operator="greaterThan">
      <formula>0</formula>
    </cfRule>
    <cfRule type="cellIs" dxfId="240" priority="598" operator="lessThan">
      <formula>0</formula>
    </cfRule>
  </conditionalFormatting>
  <conditionalFormatting sqref="AA117">
    <cfRule type="cellIs" dxfId="239" priority="625" operator="greaterThan">
      <formula>0</formula>
    </cfRule>
    <cfRule type="cellIs" dxfId="238" priority="626" operator="lessThan">
      <formula>0</formula>
    </cfRule>
  </conditionalFormatting>
  <conditionalFormatting sqref="V123:W126 V122">
    <cfRule type="cellIs" dxfId="237" priority="621" operator="greaterThan">
      <formula>0</formula>
    </cfRule>
    <cfRule type="cellIs" dxfId="236" priority="622" operator="lessThan">
      <formula>0</formula>
    </cfRule>
  </conditionalFormatting>
  <conditionalFormatting sqref="M122:M126">
    <cfRule type="cellIs" dxfId="235" priority="619" operator="lessThan">
      <formula>0</formula>
    </cfRule>
    <cfRule type="cellIs" dxfId="234" priority="620" operator="greaterThan">
      <formula>0</formula>
    </cfRule>
  </conditionalFormatting>
  <conditionalFormatting sqref="AB122">
    <cfRule type="cellIs" dxfId="233" priority="617" operator="greaterThan">
      <formula>0</formula>
    </cfRule>
    <cfRule type="cellIs" dxfId="232" priority="618" operator="lessThan">
      <formula>0</formula>
    </cfRule>
  </conditionalFormatting>
  <conditionalFormatting sqref="AA132">
    <cfRule type="cellIs" dxfId="231" priority="583" operator="greaterThan">
      <formula>0</formula>
    </cfRule>
    <cfRule type="cellIs" dxfId="230" priority="584" operator="lessThan">
      <formula>0</formula>
    </cfRule>
  </conditionalFormatting>
  <conditionalFormatting sqref="AA122">
    <cfRule type="cellIs" dxfId="229" priority="611" operator="greaterThan">
      <formula>0</formula>
    </cfRule>
    <cfRule type="cellIs" dxfId="228" priority="612" operator="lessThan">
      <formula>0</formula>
    </cfRule>
  </conditionalFormatting>
  <conditionalFormatting sqref="V128:X131 V127">
    <cfRule type="cellIs" dxfId="227" priority="607" operator="greaterThan">
      <formula>0</formula>
    </cfRule>
    <cfRule type="cellIs" dxfId="226" priority="608" operator="lessThan">
      <formula>0</formula>
    </cfRule>
  </conditionalFormatting>
  <conditionalFormatting sqref="M127:M131">
    <cfRule type="cellIs" dxfId="225" priority="605" operator="lessThan">
      <formula>0</formula>
    </cfRule>
    <cfRule type="cellIs" dxfId="224" priority="606" operator="greaterThan">
      <formula>0</formula>
    </cfRule>
  </conditionalFormatting>
  <conditionalFormatting sqref="AB127">
    <cfRule type="cellIs" dxfId="223" priority="603" operator="greaterThan">
      <formula>0</formula>
    </cfRule>
    <cfRule type="cellIs" dxfId="222" priority="604" operator="lessThan">
      <formula>0</formula>
    </cfRule>
  </conditionalFormatting>
  <conditionalFormatting sqref="AA137">
    <cfRule type="cellIs" dxfId="221" priority="569" operator="greaterThan">
      <formula>0</formula>
    </cfRule>
    <cfRule type="cellIs" dxfId="220" priority="570" operator="lessThan">
      <formula>0</formula>
    </cfRule>
  </conditionalFormatting>
  <conditionalFormatting sqref="V133:W136 V132">
    <cfRule type="cellIs" dxfId="219" priority="593" operator="greaterThan">
      <formula>0</formula>
    </cfRule>
    <cfRule type="cellIs" dxfId="218" priority="594" operator="lessThan">
      <formula>0</formula>
    </cfRule>
  </conditionalFormatting>
  <conditionalFormatting sqref="M132:M136">
    <cfRule type="cellIs" dxfId="217" priority="591" operator="lessThan">
      <formula>0</formula>
    </cfRule>
    <cfRule type="cellIs" dxfId="216" priority="592" operator="greaterThan">
      <formula>0</formula>
    </cfRule>
  </conditionalFormatting>
  <conditionalFormatting sqref="AB132">
    <cfRule type="cellIs" dxfId="215" priority="589" operator="greaterThan">
      <formula>0</formula>
    </cfRule>
    <cfRule type="cellIs" dxfId="214" priority="590" operator="lessThan">
      <formula>0</formula>
    </cfRule>
  </conditionalFormatting>
  <conditionalFormatting sqref="W132">
    <cfRule type="cellIs" dxfId="213" priority="587" operator="greaterThan">
      <formula>0</formula>
    </cfRule>
    <cfRule type="cellIs" dxfId="212" priority="588" operator="lessThan">
      <formula>0</formula>
    </cfRule>
  </conditionalFormatting>
  <conditionalFormatting sqref="V143:X146 V142 V148:X151 V153:X156 V158:X161 V163:X166 V168:X171 V173:X176 V178:X181 V183:X186 V188:X191 V193:X196 V198:X201 V203:X206 V208:X211 V213:X216 V147 V152 V157 V162 V167 V172 V177 V182 V187 V192 V197 V202 V207 V212 V218:X221 V223:X226 V228:X231 V233:X236 V238:X241 V243:X246 V248:X251 V253:X256 V258:X261 V263:X266 V268:X271 V273:X276 V278:X281 V283:X286 V288:X291 V293:X296 V298:X301 V303:X306 V308:X311 V313:X316 V318:X321 V323:X326 V328:X331 V333:X336 V217 V222 V227 V232 V237 V242 V247 V252 V257 V262 V267 V272 V277 V282 V287 V292 V297 V302 V307 V312 V317 V322 V327 V332 V338:X341 V343:X346 V348:X351 V353:X356 V358:X361 V363:X366 V337 V342 V347 V352 V357 V362">
    <cfRule type="cellIs" dxfId="211" priority="565" operator="greaterThan">
      <formula>0</formula>
    </cfRule>
    <cfRule type="cellIs" dxfId="210" priority="566" operator="lessThan">
      <formula>0</formula>
    </cfRule>
  </conditionalFormatting>
  <conditionalFormatting sqref="V138:W141 V137">
    <cfRule type="cellIs" dxfId="209" priority="579" operator="greaterThan">
      <formula>0</formula>
    </cfRule>
    <cfRule type="cellIs" dxfId="208" priority="580" operator="lessThan">
      <formula>0</formula>
    </cfRule>
  </conditionalFormatting>
  <conditionalFormatting sqref="M137:M141">
    <cfRule type="cellIs" dxfId="207" priority="577" operator="lessThan">
      <formula>0</formula>
    </cfRule>
    <cfRule type="cellIs" dxfId="206" priority="578" operator="greaterThan">
      <formula>0</formula>
    </cfRule>
  </conditionalFormatting>
  <conditionalFormatting sqref="AB137">
    <cfRule type="cellIs" dxfId="205" priority="575" operator="greaterThan">
      <formula>0</formula>
    </cfRule>
    <cfRule type="cellIs" dxfId="204" priority="576" operator="lessThan">
      <formula>0</formula>
    </cfRule>
  </conditionalFormatting>
  <conditionalFormatting sqref="W137">
    <cfRule type="cellIs" dxfId="203" priority="573" operator="greaterThan">
      <formula>0</formula>
    </cfRule>
    <cfRule type="cellIs" dxfId="202" priority="574" operator="lessThan">
      <formula>0</formula>
    </cfRule>
  </conditionalFormatting>
  <conditionalFormatting sqref="AB2">
    <cfRule type="cellIs" dxfId="201" priority="551" operator="greaterThan">
      <formula>0</formula>
    </cfRule>
    <cfRule type="cellIs" dxfId="200" priority="552" operator="lessThan">
      <formula>0</formula>
    </cfRule>
  </conditionalFormatting>
  <conditionalFormatting sqref="AB142 AB147 AB152 AB157 AB162 AB167 AB172 AB177 AB182 AB187 AB192 AB197 AB202 AB207 AB212 AB217 AB222 AB227 AB232 AB237 AB242 AB247 AB252 AB257 AB262 AB267 AB272 AB277 AB282 AB287 AB292 AB297 AB302 AB307 AB312 AB317 AB322 AB327 AB332 AB337 AB342 AB347 AB352 AB357 AB362">
    <cfRule type="cellIs" dxfId="199" priority="561" operator="greaterThan">
      <formula>0</formula>
    </cfRule>
    <cfRule type="cellIs" dxfId="198" priority="562" operator="lessThan">
      <formula>0</formula>
    </cfRule>
  </conditionalFormatting>
  <conditionalFormatting sqref="M142:M366">
    <cfRule type="cellIs" dxfId="197" priority="563" operator="lessThan">
      <formula>0</formula>
    </cfRule>
    <cfRule type="cellIs" dxfId="196" priority="564" operator="greaterThan">
      <formula>0</formula>
    </cfRule>
  </conditionalFormatting>
  <conditionalFormatting sqref="W142 W147 W152 W157 W162 W167 W172 W177 W182 W187 W192 W197 W202 W207 W212 W217 W222 W227 W232 W237 W242 W247 W252 W257 W262 W267 W272 W277 W282 W287 W292 W297 W302 W307 W312 W317 W322 W327 W332 W337 W342 W347 W352 W357 W362">
    <cfRule type="cellIs" dxfId="195" priority="559" operator="greaterThan">
      <formula>0</formula>
    </cfRule>
    <cfRule type="cellIs" dxfId="194" priority="560" operator="lessThan">
      <formula>0</formula>
    </cfRule>
  </conditionalFormatting>
  <conditionalFormatting sqref="AA142 AA147 AA152 AA157 AA162 AA167 AA172 AA177 AA182 AA187 AA192 AA197 AA202 AA207 AA212 AA217 AA222 AA227 AA232 AA237 AA242 AA247 AA252 AA257 AA262 AA267 AA272 AA277 AA282 AA287 AA292 AA297 AA302 AA307 AA312 AA317 AA322 AA327 AA332 AA337 AA342 AA347 AA352 AA357 AA362">
    <cfRule type="cellIs" dxfId="193" priority="555" operator="greaterThan">
      <formula>0</formula>
    </cfRule>
    <cfRule type="cellIs" dxfId="192" priority="556" operator="lessThan">
      <formula>0</formula>
    </cfRule>
  </conditionalFormatting>
  <conditionalFormatting sqref="X2">
    <cfRule type="cellIs" dxfId="191" priority="547" operator="greaterThan">
      <formula>0</formula>
    </cfRule>
    <cfRule type="cellIs" dxfId="190" priority="548" operator="lessThan">
      <formula>0</formula>
    </cfRule>
  </conditionalFormatting>
  <conditionalFormatting sqref="AA2">
    <cfRule type="cellIs" dxfId="189" priority="549" operator="greaterThan">
      <formula>0</formula>
    </cfRule>
    <cfRule type="cellIs" dxfId="188" priority="550" operator="lessThan">
      <formula>0</formula>
    </cfRule>
  </conditionalFormatting>
  <conditionalFormatting sqref="X12">
    <cfRule type="cellIs" dxfId="187" priority="545" operator="greaterThan">
      <formula>0</formula>
    </cfRule>
    <cfRule type="cellIs" dxfId="186" priority="546" operator="lessThan">
      <formula>0</formula>
    </cfRule>
  </conditionalFormatting>
  <conditionalFormatting sqref="X73:X76">
    <cfRule type="cellIs" dxfId="185" priority="195" operator="greaterThan">
      <formula>0</formula>
    </cfRule>
    <cfRule type="cellIs" dxfId="184" priority="196" operator="lessThan">
      <formula>0</formula>
    </cfRule>
  </conditionalFormatting>
  <conditionalFormatting sqref="X43:X46">
    <cfRule type="cellIs" dxfId="183" priority="215" operator="greaterThan">
      <formula>0</formula>
    </cfRule>
    <cfRule type="cellIs" dxfId="182" priority="216" operator="lessThan">
      <formula>0</formula>
    </cfRule>
  </conditionalFormatting>
  <conditionalFormatting sqref="X32">
    <cfRule type="cellIs" dxfId="181" priority="219" operator="greaterThan">
      <formula>0</formula>
    </cfRule>
    <cfRule type="cellIs" dxfId="180" priority="220" operator="lessThan">
      <formula>0</formula>
    </cfRule>
  </conditionalFormatting>
  <conditionalFormatting sqref="X33:X36">
    <cfRule type="cellIs" dxfId="179" priority="223" operator="greaterThan">
      <formula>0</formula>
    </cfRule>
    <cfRule type="cellIs" dxfId="178" priority="224" operator="lessThan">
      <formula>0</formula>
    </cfRule>
  </conditionalFormatting>
  <conditionalFormatting sqref="X22">
    <cfRule type="cellIs" dxfId="177" priority="227" operator="greaterThan">
      <formula>0</formula>
    </cfRule>
    <cfRule type="cellIs" dxfId="176" priority="228" operator="lessThan">
      <formula>0</formula>
    </cfRule>
  </conditionalFormatting>
  <conditionalFormatting sqref="X17">
    <cfRule type="cellIs" dxfId="175" priority="229" operator="greaterThan">
      <formula>0</formula>
    </cfRule>
    <cfRule type="cellIs" dxfId="174" priority="230" operator="lessThan">
      <formula>0</formula>
    </cfRule>
  </conditionalFormatting>
  <conditionalFormatting sqref="X28:X31">
    <cfRule type="cellIs" dxfId="161" priority="225" operator="greaterThan">
      <formula>0</formula>
    </cfRule>
    <cfRule type="cellIs" dxfId="160" priority="226" operator="lessThan">
      <formula>0</formula>
    </cfRule>
  </conditionalFormatting>
  <conditionalFormatting sqref="X27">
    <cfRule type="cellIs" dxfId="159" priority="221" operator="greaterThan">
      <formula>0</formula>
    </cfRule>
    <cfRule type="cellIs" dxfId="158" priority="222" operator="lessThan">
      <formula>0</formula>
    </cfRule>
  </conditionalFormatting>
  <conditionalFormatting sqref="X37">
    <cfRule type="cellIs" dxfId="157" priority="217" operator="greaterThan">
      <formula>0</formula>
    </cfRule>
    <cfRule type="cellIs" dxfId="156" priority="218" operator="lessThan">
      <formula>0</formula>
    </cfRule>
  </conditionalFormatting>
  <conditionalFormatting sqref="X48:X51">
    <cfRule type="cellIs" dxfId="155" priority="213" operator="greaterThan">
      <formula>0</formula>
    </cfRule>
    <cfRule type="cellIs" dxfId="154" priority="214" operator="lessThan">
      <formula>0</formula>
    </cfRule>
  </conditionalFormatting>
  <conditionalFormatting sqref="X42">
    <cfRule type="cellIs" dxfId="153" priority="211" operator="greaterThan">
      <formula>0</formula>
    </cfRule>
    <cfRule type="cellIs" dxfId="152" priority="212" operator="lessThan">
      <formula>0</formula>
    </cfRule>
  </conditionalFormatting>
  <conditionalFormatting sqref="X47">
    <cfRule type="cellIs" dxfId="151" priority="209" operator="greaterThan">
      <formula>0</formula>
    </cfRule>
    <cfRule type="cellIs" dxfId="150" priority="210" operator="lessThan">
      <formula>0</formula>
    </cfRule>
  </conditionalFormatting>
  <conditionalFormatting sqref="X52">
    <cfRule type="cellIs" dxfId="149" priority="207" operator="greaterThan">
      <formula>0</formula>
    </cfRule>
    <cfRule type="cellIs" dxfId="148" priority="208" operator="lessThan">
      <formula>0</formula>
    </cfRule>
  </conditionalFormatting>
  <conditionalFormatting sqref="X58:X61">
    <cfRule type="cellIs" dxfId="147" priority="205" operator="greaterThan">
      <formula>0</formula>
    </cfRule>
    <cfRule type="cellIs" dxfId="146" priority="206" operator="lessThan">
      <formula>0</formula>
    </cfRule>
  </conditionalFormatting>
  <conditionalFormatting sqref="X63:X66">
    <cfRule type="cellIs" dxfId="145" priority="203" operator="greaterThan">
      <formula>0</formula>
    </cfRule>
    <cfRule type="cellIs" dxfId="144" priority="204" operator="lessThan">
      <formula>0</formula>
    </cfRule>
  </conditionalFormatting>
  <conditionalFormatting sqref="X57">
    <cfRule type="cellIs" dxfId="143" priority="201" operator="greaterThan">
      <formula>0</formula>
    </cfRule>
    <cfRule type="cellIs" dxfId="142" priority="202" operator="lessThan">
      <formula>0</formula>
    </cfRule>
  </conditionalFormatting>
  <conditionalFormatting sqref="X62">
    <cfRule type="cellIs" dxfId="141" priority="199" operator="greaterThan">
      <formula>0</formula>
    </cfRule>
    <cfRule type="cellIs" dxfId="140" priority="200" operator="lessThan">
      <formula>0</formula>
    </cfRule>
  </conditionalFormatting>
  <conditionalFormatting sqref="X67">
    <cfRule type="cellIs" dxfId="139" priority="197" operator="greaterThan">
      <formula>0</formula>
    </cfRule>
    <cfRule type="cellIs" dxfId="138" priority="198" operator="lessThan">
      <formula>0</formula>
    </cfRule>
  </conditionalFormatting>
  <conditionalFormatting sqref="X78:X81">
    <cfRule type="cellIs" dxfId="137" priority="193" operator="greaterThan">
      <formula>0</formula>
    </cfRule>
    <cfRule type="cellIs" dxfId="136" priority="194" operator="lessThan">
      <formula>0</formula>
    </cfRule>
  </conditionalFormatting>
  <conditionalFormatting sqref="X72">
    <cfRule type="cellIs" dxfId="135" priority="191" operator="greaterThan">
      <formula>0</formula>
    </cfRule>
    <cfRule type="cellIs" dxfId="134" priority="192" operator="lessThan">
      <formula>0</formula>
    </cfRule>
  </conditionalFormatting>
  <conditionalFormatting sqref="X77">
    <cfRule type="cellIs" dxfId="133" priority="189" operator="greaterThan">
      <formula>0</formula>
    </cfRule>
    <cfRule type="cellIs" dxfId="132" priority="190" operator="lessThan">
      <formula>0</formula>
    </cfRule>
  </conditionalFormatting>
  <conditionalFormatting sqref="X82">
    <cfRule type="cellIs" dxfId="131" priority="187" operator="greaterThan">
      <formula>0</formula>
    </cfRule>
    <cfRule type="cellIs" dxfId="130" priority="188" operator="lessThan">
      <formula>0</formula>
    </cfRule>
  </conditionalFormatting>
  <conditionalFormatting sqref="X88:X91">
    <cfRule type="cellIs" dxfId="129" priority="185" operator="greaterThan">
      <formula>0</formula>
    </cfRule>
    <cfRule type="cellIs" dxfId="128" priority="186" operator="lessThan">
      <formula>0</formula>
    </cfRule>
  </conditionalFormatting>
  <conditionalFormatting sqref="X93:X96">
    <cfRule type="cellIs" dxfId="127" priority="183" operator="greaterThan">
      <formula>0</formula>
    </cfRule>
    <cfRule type="cellIs" dxfId="126" priority="184" operator="lessThan">
      <formula>0</formula>
    </cfRule>
  </conditionalFormatting>
  <conditionalFormatting sqref="X87">
    <cfRule type="cellIs" dxfId="125" priority="181" operator="greaterThan">
      <formula>0</formula>
    </cfRule>
    <cfRule type="cellIs" dxfId="124" priority="182" operator="lessThan">
      <formula>0</formula>
    </cfRule>
  </conditionalFormatting>
  <conditionalFormatting sqref="X92">
    <cfRule type="cellIs" dxfId="123" priority="179" operator="greaterThan">
      <formula>0</formula>
    </cfRule>
    <cfRule type="cellIs" dxfId="122" priority="180" operator="lessThan">
      <formula>0</formula>
    </cfRule>
  </conditionalFormatting>
  <conditionalFormatting sqref="X97">
    <cfRule type="cellIs" dxfId="121" priority="177" operator="greaterThan">
      <formula>0</formula>
    </cfRule>
    <cfRule type="cellIs" dxfId="120" priority="178" operator="lessThan">
      <formula>0</formula>
    </cfRule>
  </conditionalFormatting>
  <conditionalFormatting sqref="X103:X106">
    <cfRule type="cellIs" dxfId="119" priority="175" operator="greaterThan">
      <formula>0</formula>
    </cfRule>
    <cfRule type="cellIs" dxfId="118" priority="176" operator="lessThan">
      <formula>0</formula>
    </cfRule>
  </conditionalFormatting>
  <conditionalFormatting sqref="X108:X111">
    <cfRule type="cellIs" dxfId="117" priority="173" operator="greaterThan">
      <formula>0</formula>
    </cfRule>
    <cfRule type="cellIs" dxfId="116" priority="174" operator="lessThan">
      <formula>0</formula>
    </cfRule>
  </conditionalFormatting>
  <conditionalFormatting sqref="X102">
    <cfRule type="cellIs" dxfId="115" priority="171" operator="greaterThan">
      <formula>0</formula>
    </cfRule>
    <cfRule type="cellIs" dxfId="114" priority="172" operator="lessThan">
      <formula>0</formula>
    </cfRule>
  </conditionalFormatting>
  <conditionalFormatting sqref="X107">
    <cfRule type="cellIs" dxfId="113" priority="169" operator="greaterThan">
      <formula>0</formula>
    </cfRule>
    <cfRule type="cellIs" dxfId="112" priority="170" operator="lessThan">
      <formula>0</formula>
    </cfRule>
  </conditionalFormatting>
  <conditionalFormatting sqref="X112">
    <cfRule type="cellIs" dxfId="111" priority="167" operator="greaterThan">
      <formula>0</formula>
    </cfRule>
    <cfRule type="cellIs" dxfId="110" priority="168" operator="lessThan">
      <formula>0</formula>
    </cfRule>
  </conditionalFormatting>
  <conditionalFormatting sqref="X118:X121">
    <cfRule type="cellIs" dxfId="109" priority="165" operator="greaterThan">
      <formula>0</formula>
    </cfRule>
    <cfRule type="cellIs" dxfId="108" priority="166" operator="lessThan">
      <formula>0</formula>
    </cfRule>
  </conditionalFormatting>
  <conditionalFormatting sqref="X123:X126">
    <cfRule type="cellIs" dxfId="107" priority="163" operator="greaterThan">
      <formula>0</formula>
    </cfRule>
    <cfRule type="cellIs" dxfId="106" priority="164" operator="lessThan">
      <formula>0</formula>
    </cfRule>
  </conditionalFormatting>
  <conditionalFormatting sqref="X117">
    <cfRule type="cellIs" dxfId="105" priority="161" operator="greaterThan">
      <formula>0</formula>
    </cfRule>
    <cfRule type="cellIs" dxfId="104" priority="162" operator="lessThan">
      <formula>0</formula>
    </cfRule>
  </conditionalFormatting>
  <conditionalFormatting sqref="X122">
    <cfRule type="cellIs" dxfId="103" priority="159" operator="greaterThan">
      <formula>0</formula>
    </cfRule>
    <cfRule type="cellIs" dxfId="102" priority="160" operator="lessThan">
      <formula>0</formula>
    </cfRule>
  </conditionalFormatting>
  <conditionalFormatting sqref="X127">
    <cfRule type="cellIs" dxfId="101" priority="157" operator="greaterThan">
      <formula>0</formula>
    </cfRule>
    <cfRule type="cellIs" dxfId="100" priority="158" operator="lessThan">
      <formula>0</formula>
    </cfRule>
  </conditionalFormatting>
  <conditionalFormatting sqref="X133:X136">
    <cfRule type="cellIs" dxfId="99" priority="155" operator="greaterThan">
      <formula>0</formula>
    </cfRule>
    <cfRule type="cellIs" dxfId="98" priority="156" operator="lessThan">
      <formula>0</formula>
    </cfRule>
  </conditionalFormatting>
  <conditionalFormatting sqref="X138:X141">
    <cfRule type="cellIs" dxfId="97" priority="153" operator="greaterThan">
      <formula>0</formula>
    </cfRule>
    <cfRule type="cellIs" dxfId="96" priority="154" operator="lessThan">
      <formula>0</formula>
    </cfRule>
  </conditionalFormatting>
  <conditionalFormatting sqref="X132">
    <cfRule type="cellIs" dxfId="95" priority="151" operator="greaterThan">
      <formula>0</formula>
    </cfRule>
    <cfRule type="cellIs" dxfId="94" priority="152" operator="lessThan">
      <formula>0</formula>
    </cfRule>
  </conditionalFormatting>
  <conditionalFormatting sqref="X137">
    <cfRule type="cellIs" dxfId="93" priority="149" operator="greaterThan">
      <formula>0</formula>
    </cfRule>
    <cfRule type="cellIs" dxfId="92" priority="150" operator="lessThan">
      <formula>0</formula>
    </cfRule>
  </conditionalFormatting>
  <conditionalFormatting sqref="X142 X147 X152 X157 X162 X167 X172 X177 X182 X187 X192 X197 X202 X207 X212 X217 X222 X227 X232 X237 X242 X247 X252 X257 X262 X267 X272 X277 X282 X287 X292 X297 X302 X307 X312 X317 X322 X327 X332 X337 X342 X347 X352 X357 X362">
    <cfRule type="cellIs" dxfId="91" priority="147" operator="greaterThan">
      <formula>0</formula>
    </cfRule>
    <cfRule type="cellIs" dxfId="90" priority="148" operator="lessThan">
      <formula>0</formula>
    </cfRule>
  </conditionalFormatting>
  <conditionalFormatting sqref="Z7">
    <cfRule type="cellIs" dxfId="87" priority="135" operator="greaterThan">
      <formula>0</formula>
    </cfRule>
    <cfRule type="cellIs" dxfId="86" priority="136" operator="lessThan">
      <formula>0</formula>
    </cfRule>
  </conditionalFormatting>
  <conditionalFormatting sqref="Z12">
    <cfRule type="cellIs" dxfId="85" priority="133" operator="greaterThan">
      <formula>0</formula>
    </cfRule>
    <cfRule type="cellIs" dxfId="84" priority="134" operator="lessThan">
      <formula>0</formula>
    </cfRule>
  </conditionalFormatting>
  <conditionalFormatting sqref="Z18:Z21 Z23:Z26 Z28:Z31 Z33:Z36 Z38:Z41 Z43:Z46 Z48:Z51 Z53:Z56 Z58:Z61 Z63:Z66 Z68:Z71 Z73:Z76 Z78:Z81 Z83:Z86 Z88:Z91 Z93:Z96 Z98:Z101 Z103:Z106 Z108:Z111 Z113:Z116 Z118:Z121 Z123:Z126 Z128:Z131 Z133:Z136 Z138:Z141 Z143:Z146 Z148:Z151 Z153:Z156 Z158:Z161 Z163:Z166 Z168:Z171 Z173:Z176 Z178:Z181 Z183:Z186 Z188:Z191 Z193:Z196 Z198:Z201 Z203:Z206 Z208:Z211 Z213:Z216 Z218:Z221 Z223:Z226 Z228:Z231 Z233:Z236 Z238:Z241 Z243:Z246 Z248:Z251 Z253:Z256 Z258:Z261 Z263:Z266 Z268:Z271 Z273:Z276 Z278:Z281 Z283:Z286 Z288:Z291 Z293:Z296 Z298:Z301 Z303:Z306 Z308:Z311 Z313:Z316 Z318:Z321 Z323:Z326 Z328:Z331 Z333:Z336 Z338:Z341 Z343:Z346 Z348:Z351 Z353:Z356 Z358:Z361 Z363:Z366">
    <cfRule type="cellIs" dxfId="83" priority="131" operator="greaterThan">
      <formula>0</formula>
    </cfRule>
    <cfRule type="cellIs" dxfId="82" priority="132" operator="lessThan">
      <formula>0</formula>
    </cfRule>
  </conditionalFormatting>
  <conditionalFormatting sqref="Z17 Z22 Z27 Z32 Z37 Z42 Z47 Z52 Z57 Z62 Z67 Z72 Z77 Z82 Z87 Z92 Z97 Z102 Z107 Z112 Z117 Z122 Z127 Z132 Z137 Z142 Z147 Z152 Z157 Z162 Z167 Z172 Z177 Z182 Z187 Z192 Z197 Z202 Z207 Z212 Z217 Z222 Z227 Z232 Z237 Z242 Z247 Z252 Z257 Z262 Z267 Z272 Z277 Z282 Z287 Z292 Z297 Z302 Z307 Z312 Z317 Z322 Z327 Z332 Z337 Z342 Z347 Z352 Z357 Z362">
    <cfRule type="cellIs" dxfId="81" priority="129" operator="greaterThan">
      <formula>0</formula>
    </cfRule>
    <cfRule type="cellIs" dxfId="80" priority="130" operator="lessThan">
      <formula>0</formula>
    </cfRule>
  </conditionalFormatting>
  <conditionalFormatting sqref="Y7:Y366">
    <cfRule type="cellIs" dxfId="79" priority="127" operator="greaterThan">
      <formula>0</formula>
    </cfRule>
    <cfRule type="cellIs" dxfId="78" priority="128" operator="lessThan">
      <formula>0</formula>
    </cfRule>
  </conditionalFormatting>
  <dataValidations count="2">
    <dataValidation type="list" allowBlank="1" showInputMessage="1" showErrorMessage="1" sqref="E2:E366">
      <formula1>$AH$2:$AH$3</formula1>
    </dataValidation>
    <dataValidation type="list" allowBlank="1" showInputMessage="1" showErrorMessage="1" sqref="H2:H366">
      <formula1>$AI$2:$AI$7</formula1>
    </dataValidation>
  </dataValidations>
  <pageMargins left="0.7" right="0.7" top="0.75" bottom="0.75" header="0" footer="0"/>
  <pageSetup paperSize="9"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Z17"/>
  <sheetViews>
    <sheetView workbookViewId="0">
      <selection activeCell="B5" sqref="B5"/>
    </sheetView>
  </sheetViews>
  <sheetFormatPr baseColWidth="10" defaultRowHeight="14.25" x14ac:dyDescent="0.2"/>
  <cols>
    <col min="1" max="1" width="16.375" customWidth="1"/>
    <col min="2" max="2" width="16.5" customWidth="1"/>
    <col min="3" max="3" width="11.875" customWidth="1"/>
    <col min="4" max="4" width="10" customWidth="1"/>
    <col min="5" max="5" width="5.625" customWidth="1"/>
    <col min="6" max="6" width="9.25" customWidth="1"/>
    <col min="7" max="7" width="12.375" customWidth="1"/>
    <col min="8" max="8" width="12.75" customWidth="1"/>
    <col min="9" max="9" width="9" customWidth="1"/>
    <col min="10" max="10" width="12.125" customWidth="1"/>
    <col min="11" max="11" width="11.875" customWidth="1"/>
    <col min="12" max="12" width="13.875" customWidth="1"/>
    <col min="13" max="13" width="9.625" customWidth="1"/>
    <col min="14" max="14" width="11.5" customWidth="1"/>
    <col min="15" max="15" width="15.125" customWidth="1"/>
    <col min="16" max="16" width="14.625" customWidth="1"/>
    <col min="17" max="17" width="12.625" customWidth="1"/>
    <col min="18" max="18" width="11.75" customWidth="1"/>
    <col min="19" max="19" width="12.5" customWidth="1"/>
    <col min="20" max="20" width="11.375" customWidth="1"/>
    <col min="21" max="21" width="16.125" customWidth="1"/>
    <col min="22" max="22" width="23" customWidth="1"/>
    <col min="23" max="23" width="20.75" customWidth="1"/>
    <col min="24" max="24" width="10.375" customWidth="1"/>
    <col min="25" max="25" width="27.375" customWidth="1"/>
    <col min="26" max="26" width="20" customWidth="1"/>
  </cols>
  <sheetData>
    <row r="1" spans="1:26" x14ac:dyDescent="0.2">
      <c r="A1" s="64"/>
      <c r="B1" s="64"/>
      <c r="C1" s="64"/>
      <c r="D1" s="64"/>
      <c r="E1" s="64"/>
      <c r="F1" s="64"/>
      <c r="G1" s="64"/>
      <c r="H1" s="64"/>
      <c r="I1" s="64"/>
      <c r="J1" s="64"/>
      <c r="K1" s="64"/>
      <c r="L1" s="64"/>
      <c r="M1" s="64"/>
      <c r="N1" s="64"/>
      <c r="O1" s="64"/>
      <c r="P1" s="64"/>
      <c r="Q1" s="64"/>
      <c r="R1" s="64"/>
      <c r="S1" s="64"/>
      <c r="T1" s="64"/>
      <c r="U1" s="64"/>
      <c r="V1" s="64"/>
      <c r="W1" s="64"/>
      <c r="X1" s="64"/>
      <c r="Y1" s="64"/>
      <c r="Z1" s="64" t="s">
        <v>69</v>
      </c>
    </row>
    <row r="2" spans="1:26" x14ac:dyDescent="0.2">
      <c r="A2" s="64" t="s">
        <v>47</v>
      </c>
      <c r="B2" s="64" t="s">
        <v>48</v>
      </c>
      <c r="C2" s="64" t="s">
        <v>49</v>
      </c>
      <c r="D2" s="64" t="s">
        <v>50</v>
      </c>
      <c r="E2" s="64" t="s">
        <v>51</v>
      </c>
      <c r="F2" s="64" t="s">
        <v>52</v>
      </c>
      <c r="G2" s="64" t="s">
        <v>53</v>
      </c>
      <c r="H2" s="64" t="s">
        <v>54</v>
      </c>
      <c r="I2" s="64" t="s">
        <v>55</v>
      </c>
      <c r="J2" s="64" t="s">
        <v>56</v>
      </c>
      <c r="K2" s="64" t="s">
        <v>57</v>
      </c>
      <c r="L2" s="64" t="s">
        <v>58</v>
      </c>
      <c r="M2" s="64" t="s">
        <v>59</v>
      </c>
      <c r="N2" s="64" t="s">
        <v>60</v>
      </c>
      <c r="O2" s="64" t="s">
        <v>61</v>
      </c>
      <c r="P2" s="64" t="s">
        <v>62</v>
      </c>
      <c r="Q2" s="64" t="s">
        <v>63</v>
      </c>
      <c r="R2" s="64" t="s">
        <v>64</v>
      </c>
      <c r="S2" s="64" t="s">
        <v>65</v>
      </c>
      <c r="T2" s="64" t="s">
        <v>66</v>
      </c>
      <c r="U2" s="64" t="s">
        <v>67</v>
      </c>
      <c r="V2" s="64" t="s">
        <v>68</v>
      </c>
      <c r="W2" s="64" t="s">
        <v>70</v>
      </c>
      <c r="X2" s="64" t="s">
        <v>71</v>
      </c>
      <c r="Y2" s="64" t="s">
        <v>72</v>
      </c>
      <c r="Z2" s="64">
        <v>2667</v>
      </c>
    </row>
    <row r="3" spans="1:26" x14ac:dyDescent="0.2">
      <c r="A3" s="76">
        <v>44179.576458333337</v>
      </c>
      <c r="B3" s="76">
        <v>44179.57644675926</v>
      </c>
      <c r="C3" t="s">
        <v>87</v>
      </c>
      <c r="E3" t="s">
        <v>81</v>
      </c>
      <c r="F3">
        <v>1</v>
      </c>
      <c r="G3">
        <v>1</v>
      </c>
      <c r="H3">
        <v>0</v>
      </c>
      <c r="J3" t="s">
        <v>86</v>
      </c>
      <c r="K3" s="77">
        <v>1934.9</v>
      </c>
      <c r="L3" t="s">
        <v>82</v>
      </c>
      <c r="N3" t="s">
        <v>83</v>
      </c>
    </row>
    <row r="4" spans="1:26" s="78" customFormat="1" x14ac:dyDescent="0.2">
      <c r="A4" s="79">
        <v>44179.57644675926</v>
      </c>
      <c r="B4" s="79">
        <v>44179.581585648149</v>
      </c>
      <c r="C4" s="78" t="s">
        <v>88</v>
      </c>
      <c r="E4" s="78" t="s">
        <v>84</v>
      </c>
      <c r="F4" s="78">
        <v>1</v>
      </c>
      <c r="H4" s="78">
        <v>0</v>
      </c>
      <c r="J4" s="80">
        <v>1940.9</v>
      </c>
      <c r="L4" s="78" t="s">
        <v>85</v>
      </c>
      <c r="N4" s="78" t="s">
        <v>83</v>
      </c>
    </row>
    <row r="5" spans="1:26" x14ac:dyDescent="0.2">
      <c r="A5" s="76">
        <v>44179.57644675926</v>
      </c>
      <c r="B5" s="76">
        <v>44179.581574074073</v>
      </c>
      <c r="C5" t="s">
        <v>88</v>
      </c>
      <c r="E5" t="s">
        <v>84</v>
      </c>
      <c r="F5">
        <v>1</v>
      </c>
      <c r="G5">
        <v>1</v>
      </c>
      <c r="H5">
        <v>0</v>
      </c>
      <c r="I5" s="77">
        <v>1931.9</v>
      </c>
      <c r="J5" t="s">
        <v>86</v>
      </c>
      <c r="K5" s="77">
        <v>1931.8</v>
      </c>
      <c r="L5" t="s">
        <v>82</v>
      </c>
      <c r="N5" t="s">
        <v>83</v>
      </c>
    </row>
    <row r="6" spans="1:26" s="1" customFormat="1" x14ac:dyDescent="0.2">
      <c r="A6" s="76"/>
      <c r="B6" s="76"/>
      <c r="I6" s="77"/>
      <c r="K6" s="77"/>
    </row>
    <row r="7" spans="1:26" x14ac:dyDescent="0.2">
      <c r="A7" s="76">
        <v>44179.559155092589</v>
      </c>
      <c r="B7" s="76">
        <v>44179.559155092589</v>
      </c>
      <c r="C7" t="s">
        <v>87</v>
      </c>
      <c r="E7" t="s">
        <v>81</v>
      </c>
      <c r="F7">
        <v>1</v>
      </c>
      <c r="G7">
        <v>1</v>
      </c>
      <c r="H7">
        <v>0</v>
      </c>
      <c r="J7" t="s">
        <v>86</v>
      </c>
      <c r="K7" s="77">
        <v>1935.2</v>
      </c>
      <c r="L7" t="s">
        <v>82</v>
      </c>
      <c r="N7" t="s">
        <v>83</v>
      </c>
    </row>
    <row r="8" spans="1:26" s="78" customFormat="1" x14ac:dyDescent="0.2">
      <c r="A8" s="79">
        <v>44179.559155092589</v>
      </c>
      <c r="B8" s="79">
        <v>44179.560590277775</v>
      </c>
      <c r="C8" s="78" t="s">
        <v>88</v>
      </c>
      <c r="E8" s="78" t="s">
        <v>84</v>
      </c>
      <c r="F8" s="78">
        <v>1</v>
      </c>
      <c r="H8" s="78">
        <v>0</v>
      </c>
      <c r="J8" s="80">
        <v>1941.2</v>
      </c>
      <c r="L8" s="78" t="s">
        <v>85</v>
      </c>
      <c r="N8" s="78" t="s">
        <v>83</v>
      </c>
    </row>
    <row r="9" spans="1:26" x14ac:dyDescent="0.2">
      <c r="A9" s="76">
        <v>44179.559155092589</v>
      </c>
      <c r="B9" s="76">
        <v>44179.560590277775</v>
      </c>
      <c r="C9" t="s">
        <v>88</v>
      </c>
      <c r="E9" t="s">
        <v>84</v>
      </c>
      <c r="F9">
        <v>1</v>
      </c>
      <c r="G9">
        <v>1</v>
      </c>
      <c r="H9">
        <v>0</v>
      </c>
      <c r="I9" s="77">
        <v>1932.2</v>
      </c>
      <c r="J9" t="s">
        <v>86</v>
      </c>
      <c r="K9" s="77">
        <v>1932.1</v>
      </c>
      <c r="L9" t="s">
        <v>82</v>
      </c>
      <c r="N9" t="s">
        <v>83</v>
      </c>
    </row>
    <row r="10" spans="1:26" s="1" customFormat="1" x14ac:dyDescent="0.2">
      <c r="A10" s="76"/>
      <c r="B10" s="76"/>
      <c r="I10" s="77"/>
      <c r="K10" s="77"/>
    </row>
    <row r="11" spans="1:26" x14ac:dyDescent="0.2">
      <c r="A11" s="76">
        <v>44179.554375</v>
      </c>
      <c r="B11" s="76">
        <v>44179.554363425923</v>
      </c>
      <c r="C11" t="s">
        <v>87</v>
      </c>
      <c r="E11" t="s">
        <v>81</v>
      </c>
      <c r="F11">
        <v>1</v>
      </c>
      <c r="G11">
        <v>1</v>
      </c>
      <c r="H11">
        <v>0</v>
      </c>
      <c r="J11" t="s">
        <v>86</v>
      </c>
      <c r="K11" s="77">
        <v>1935.7</v>
      </c>
      <c r="L11" t="s">
        <v>82</v>
      </c>
      <c r="N11" t="s">
        <v>83</v>
      </c>
    </row>
    <row r="12" spans="1:26" s="78" customFormat="1" x14ac:dyDescent="0.2">
      <c r="A12" s="79">
        <v>44179.554375</v>
      </c>
      <c r="B12" s="79">
        <v>44179.556643518517</v>
      </c>
      <c r="C12" s="78" t="s">
        <v>88</v>
      </c>
      <c r="E12" s="78" t="s">
        <v>84</v>
      </c>
      <c r="F12" s="78">
        <v>1</v>
      </c>
      <c r="H12" s="78">
        <v>0</v>
      </c>
      <c r="J12" s="80">
        <v>1941.7</v>
      </c>
      <c r="L12" s="78" t="s">
        <v>85</v>
      </c>
      <c r="N12" s="78" t="s">
        <v>83</v>
      </c>
    </row>
    <row r="13" spans="1:26" x14ac:dyDescent="0.2">
      <c r="A13" s="76">
        <v>44179.554375</v>
      </c>
      <c r="B13" s="76">
        <v>44179.556631944448</v>
      </c>
      <c r="C13" t="s">
        <v>88</v>
      </c>
      <c r="E13" t="s">
        <v>84</v>
      </c>
      <c r="F13">
        <v>1</v>
      </c>
      <c r="G13">
        <v>1</v>
      </c>
      <c r="H13">
        <v>0</v>
      </c>
      <c r="I13" s="77">
        <v>1932.7</v>
      </c>
      <c r="J13" t="s">
        <v>86</v>
      </c>
      <c r="K13" s="77">
        <v>1932.6</v>
      </c>
      <c r="L13" t="s">
        <v>82</v>
      </c>
      <c r="N13" t="s">
        <v>83</v>
      </c>
    </row>
    <row r="14" spans="1:26" s="1" customFormat="1" x14ac:dyDescent="0.2">
      <c r="A14" s="76"/>
      <c r="B14" s="76"/>
      <c r="I14" s="77"/>
      <c r="K14" s="77"/>
    </row>
    <row r="15" spans="1:26" x14ac:dyDescent="0.2">
      <c r="A15" s="76">
        <v>44179.489907407406</v>
      </c>
      <c r="B15" s="76">
        <v>44179.489907407406</v>
      </c>
      <c r="C15" t="s">
        <v>87</v>
      </c>
      <c r="E15" t="s">
        <v>84</v>
      </c>
      <c r="F15">
        <v>1</v>
      </c>
      <c r="G15">
        <v>1</v>
      </c>
      <c r="H15">
        <v>0</v>
      </c>
      <c r="J15" t="s">
        <v>86</v>
      </c>
      <c r="K15" s="77">
        <v>1939.2</v>
      </c>
      <c r="L15" t="s">
        <v>82</v>
      </c>
      <c r="N15" t="s">
        <v>83</v>
      </c>
    </row>
    <row r="16" spans="1:26" s="78" customFormat="1" x14ac:dyDescent="0.2">
      <c r="A16" s="79">
        <v>44179.489907407406</v>
      </c>
      <c r="B16" s="79">
        <v>44179.490925925929</v>
      </c>
      <c r="C16" s="78" t="s">
        <v>88</v>
      </c>
      <c r="E16" s="78" t="s">
        <v>81</v>
      </c>
      <c r="F16" s="78">
        <v>1</v>
      </c>
      <c r="H16" s="78">
        <v>0</v>
      </c>
      <c r="J16" s="80">
        <v>1933.2</v>
      </c>
      <c r="L16" s="78" t="s">
        <v>85</v>
      </c>
      <c r="N16" s="78" t="s">
        <v>83</v>
      </c>
    </row>
    <row r="17" spans="1:14" x14ac:dyDescent="0.2">
      <c r="A17" s="76">
        <v>44179.489907407406</v>
      </c>
      <c r="B17" s="76">
        <v>44179.490925925929</v>
      </c>
      <c r="C17" t="s">
        <v>88</v>
      </c>
      <c r="E17" t="s">
        <v>81</v>
      </c>
      <c r="F17">
        <v>1</v>
      </c>
      <c r="G17">
        <v>1</v>
      </c>
      <c r="H17">
        <v>0</v>
      </c>
      <c r="I17" s="77">
        <v>1939</v>
      </c>
      <c r="J17" t="s">
        <v>86</v>
      </c>
      <c r="K17" s="77">
        <v>1939</v>
      </c>
      <c r="L17" t="s">
        <v>82</v>
      </c>
      <c r="N17" t="s">
        <v>83</v>
      </c>
    </row>
  </sheetData>
  <autoFilter ref="A2:Z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Tablas dinamicas</vt:lpstr>
      <vt:lpstr>DB Futuros</vt:lpstr>
      <vt:lpstr>Bitacora</vt:lpstr>
      <vt:lpstr>TradeManager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Efrain Marcelo</dc:creator>
  <cp:lastModifiedBy>Baudelio Báez</cp:lastModifiedBy>
  <dcterms:created xsi:type="dcterms:W3CDTF">2020-08-09T20:11:58Z</dcterms:created>
  <dcterms:modified xsi:type="dcterms:W3CDTF">2021-01-05T13:27:09Z</dcterms:modified>
</cp:coreProperties>
</file>