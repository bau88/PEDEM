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b9f58a9f93d6817/Documents/INGRESARIOS/Documentación Trade/"/>
    </mc:Choice>
  </mc:AlternateContent>
  <xr:revisionPtr revIDLastSave="29" documentId="8_{277273B9-AD14-4EB2-8061-6E3A18179BE5}" xr6:coauthVersionLast="45" xr6:coauthVersionMax="45" xr10:uidLastSave="{D8AA3A7E-5507-4567-8D8C-46409CDD2A89}"/>
  <bookViews>
    <workbookView xWindow="-110" yWindow="-110" windowWidth="19420" windowHeight="10420" firstSheet="1" activeTab="1" xr2:uid="{00000000-000D-0000-FFFF-FFFF00000000}"/>
  </bookViews>
  <sheets>
    <sheet name="Tablas dinamicas" sheetId="6" state="hidden" r:id="rId1"/>
    <sheet name="DB Futuros" sheetId="7" r:id="rId2"/>
    <sheet name="Bitacora" sheetId="3" r:id="rId3"/>
    <sheet name="TradeManager" sheetId="8" r:id="rId4"/>
  </sheets>
  <definedNames>
    <definedName name="_xlnm._FilterDatabase" localSheetId="2" hidden="1">Bitacora!$A$1:$AG$1</definedName>
    <definedName name="_xlnm._FilterDatabase" localSheetId="3" hidden="1">TradeManager!$A$2:$Z$16</definedName>
    <definedName name="SegmentaciónDeDatos_FECHA">#N/A</definedName>
    <definedName name="SegmentaciónDeDatos_SEMANA">#N/A</definedName>
  </definedNames>
  <calcPr calcId="191029"/>
  <pivotCaches>
    <pivotCache cacheId="16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37" i="3" l="1"/>
  <c r="V37" i="3"/>
  <c r="L38" i="3"/>
  <c r="M38" i="3"/>
  <c r="Y147" i="3" l="1"/>
  <c r="Y142" i="3"/>
  <c r="Y137" i="3"/>
  <c r="Y132" i="3"/>
  <c r="Y127" i="3"/>
  <c r="Y122" i="3"/>
  <c r="Y117" i="3"/>
  <c r="Y112" i="3"/>
  <c r="Y107" i="3"/>
  <c r="Y102" i="3"/>
  <c r="Y97" i="3"/>
  <c r="Y92" i="3"/>
  <c r="Y87" i="3"/>
  <c r="Y82" i="3"/>
  <c r="Y77" i="3"/>
  <c r="Y72" i="3"/>
  <c r="Y67" i="3"/>
  <c r="Y62" i="3"/>
  <c r="Y57" i="3"/>
  <c r="Y52" i="3"/>
  <c r="Y47" i="3"/>
  <c r="Y32" i="3"/>
  <c r="Y27" i="3"/>
  <c r="Y22" i="3"/>
  <c r="Y17" i="3"/>
  <c r="Y12" i="3"/>
  <c r="Y7" i="3"/>
  <c r="Y2" i="3"/>
  <c r="Z147" i="3"/>
  <c r="Z142" i="3"/>
  <c r="Z137" i="3"/>
  <c r="Z132" i="3"/>
  <c r="Z127" i="3"/>
  <c r="Z122" i="3"/>
  <c r="Z117" i="3"/>
  <c r="Z112" i="3"/>
  <c r="Z107" i="3"/>
  <c r="Z102" i="3"/>
  <c r="Z97" i="3"/>
  <c r="Z92" i="3"/>
  <c r="Z87" i="3"/>
  <c r="Z82" i="3"/>
  <c r="Z77" i="3"/>
  <c r="Z72" i="3"/>
  <c r="Z67" i="3"/>
  <c r="Z62" i="3"/>
  <c r="Z57" i="3"/>
  <c r="Z52" i="3"/>
  <c r="Z47" i="3"/>
  <c r="Z32" i="3"/>
  <c r="Z27" i="3"/>
  <c r="Z22" i="3"/>
  <c r="Z17" i="3"/>
  <c r="Z7" i="3"/>
  <c r="AC151" i="3" l="1"/>
  <c r="AC150" i="3"/>
  <c r="AC149" i="3"/>
  <c r="AC148" i="3"/>
  <c r="AC147" i="3"/>
  <c r="L147" i="3"/>
  <c r="L148" i="3"/>
  <c r="L149" i="3"/>
  <c r="L150" i="3"/>
  <c r="L151" i="3"/>
  <c r="M147" i="3"/>
  <c r="AD147" i="3" s="1"/>
  <c r="M148" i="3"/>
  <c r="AD148" i="3" s="1"/>
  <c r="M149" i="3"/>
  <c r="AE149" i="3" s="1"/>
  <c r="M150" i="3"/>
  <c r="AE150" i="3" s="1"/>
  <c r="M151" i="3"/>
  <c r="AD151" i="3" s="1"/>
  <c r="P147" i="3"/>
  <c r="P148" i="3"/>
  <c r="P149" i="3"/>
  <c r="U149" i="3" s="1"/>
  <c r="P150" i="3"/>
  <c r="P151" i="3"/>
  <c r="AE148" i="3" l="1"/>
  <c r="AF147" i="3"/>
  <c r="AE147" i="3"/>
  <c r="AD150" i="3"/>
  <c r="AE151" i="3"/>
  <c r="U150" i="3"/>
  <c r="AD149" i="3"/>
  <c r="U151" i="3"/>
  <c r="U147" i="3"/>
  <c r="U148" i="3"/>
  <c r="AC146" i="3"/>
  <c r="P146" i="3"/>
  <c r="M146" i="3"/>
  <c r="L146" i="3"/>
  <c r="AC145" i="3"/>
  <c r="P145" i="3"/>
  <c r="M145" i="3"/>
  <c r="L145" i="3"/>
  <c r="AC144" i="3"/>
  <c r="P144" i="3"/>
  <c r="M144" i="3"/>
  <c r="AD144" i="3" s="1"/>
  <c r="L144" i="3"/>
  <c r="AC143" i="3"/>
  <c r="P143" i="3"/>
  <c r="M143" i="3"/>
  <c r="L143" i="3"/>
  <c r="AC142" i="3"/>
  <c r="AF142" i="3" s="1"/>
  <c r="P142" i="3"/>
  <c r="M142" i="3"/>
  <c r="AE142" i="3" s="1"/>
  <c r="L142" i="3"/>
  <c r="AC141" i="3"/>
  <c r="P141" i="3"/>
  <c r="M141" i="3"/>
  <c r="L141" i="3"/>
  <c r="AC140" i="3"/>
  <c r="P140" i="3"/>
  <c r="M140" i="3"/>
  <c r="L140" i="3"/>
  <c r="AC139" i="3"/>
  <c r="P139" i="3"/>
  <c r="M139" i="3"/>
  <c r="AD139" i="3" s="1"/>
  <c r="L139" i="3"/>
  <c r="AC138" i="3"/>
  <c r="P138" i="3"/>
  <c r="M138" i="3"/>
  <c r="L138" i="3"/>
  <c r="AC137" i="3"/>
  <c r="P137" i="3"/>
  <c r="M137" i="3"/>
  <c r="AE137" i="3" s="1"/>
  <c r="L137" i="3"/>
  <c r="AC136" i="3"/>
  <c r="P136" i="3"/>
  <c r="M136" i="3"/>
  <c r="L136" i="3"/>
  <c r="AC135" i="3"/>
  <c r="P135" i="3"/>
  <c r="M135" i="3"/>
  <c r="AE135" i="3" s="1"/>
  <c r="L135" i="3"/>
  <c r="AC134" i="3"/>
  <c r="P134" i="3"/>
  <c r="M134" i="3"/>
  <c r="AE134" i="3" s="1"/>
  <c r="L134" i="3"/>
  <c r="AC133" i="3"/>
  <c r="P133" i="3"/>
  <c r="M133" i="3"/>
  <c r="L133" i="3"/>
  <c r="AC132" i="3"/>
  <c r="AF132" i="3" s="1"/>
  <c r="P132" i="3"/>
  <c r="M132" i="3"/>
  <c r="AE132" i="3" s="1"/>
  <c r="L132" i="3"/>
  <c r="AC131" i="3"/>
  <c r="P131" i="3"/>
  <c r="M131" i="3"/>
  <c r="L131" i="3"/>
  <c r="AC130" i="3"/>
  <c r="P130" i="3"/>
  <c r="M130" i="3"/>
  <c r="L130" i="3"/>
  <c r="AC129" i="3"/>
  <c r="P129" i="3"/>
  <c r="M129" i="3"/>
  <c r="AD129" i="3" s="1"/>
  <c r="L129" i="3"/>
  <c r="AC128" i="3"/>
  <c r="P128" i="3"/>
  <c r="M128" i="3"/>
  <c r="L128" i="3"/>
  <c r="AC127" i="3"/>
  <c r="P127" i="3"/>
  <c r="M127" i="3"/>
  <c r="AE127" i="3" s="1"/>
  <c r="L127" i="3"/>
  <c r="AC126" i="3"/>
  <c r="P126" i="3"/>
  <c r="M126" i="3"/>
  <c r="AD126" i="3" s="1"/>
  <c r="L126" i="3"/>
  <c r="AC125" i="3"/>
  <c r="P125" i="3"/>
  <c r="M125" i="3"/>
  <c r="AD125" i="3" s="1"/>
  <c r="L125" i="3"/>
  <c r="AC124" i="3"/>
  <c r="P124" i="3"/>
  <c r="M124" i="3"/>
  <c r="AD124" i="3" s="1"/>
  <c r="L124" i="3"/>
  <c r="AC123" i="3"/>
  <c r="P123" i="3"/>
  <c r="M123" i="3"/>
  <c r="L123" i="3"/>
  <c r="AC122" i="3"/>
  <c r="AF122" i="3" s="1"/>
  <c r="P122" i="3"/>
  <c r="M122" i="3"/>
  <c r="AE122" i="3" s="1"/>
  <c r="L122" i="3"/>
  <c r="AC121" i="3"/>
  <c r="P121" i="3"/>
  <c r="M121" i="3"/>
  <c r="L121" i="3"/>
  <c r="AC120" i="3"/>
  <c r="P120" i="3"/>
  <c r="M120" i="3"/>
  <c r="L120" i="3"/>
  <c r="AC119" i="3"/>
  <c r="P119" i="3"/>
  <c r="M119" i="3"/>
  <c r="AD119" i="3" s="1"/>
  <c r="L119" i="3"/>
  <c r="AC118" i="3"/>
  <c r="P118" i="3"/>
  <c r="M118" i="3"/>
  <c r="AD118" i="3" s="1"/>
  <c r="L118" i="3"/>
  <c r="AC117" i="3"/>
  <c r="P117" i="3"/>
  <c r="M117" i="3"/>
  <c r="AE117" i="3" s="1"/>
  <c r="L117" i="3"/>
  <c r="AC116" i="3"/>
  <c r="P116" i="3"/>
  <c r="M116" i="3"/>
  <c r="L116" i="3"/>
  <c r="AC115" i="3"/>
  <c r="P115" i="3"/>
  <c r="M115" i="3"/>
  <c r="L115" i="3"/>
  <c r="AC114" i="3"/>
  <c r="P114" i="3"/>
  <c r="M114" i="3"/>
  <c r="AD114" i="3" s="1"/>
  <c r="L114" i="3"/>
  <c r="AC113" i="3"/>
  <c r="P113" i="3"/>
  <c r="M113" i="3"/>
  <c r="L113" i="3"/>
  <c r="AC112" i="3"/>
  <c r="P112" i="3"/>
  <c r="M112" i="3"/>
  <c r="AE112" i="3" s="1"/>
  <c r="L112" i="3"/>
  <c r="AC111" i="3"/>
  <c r="P111" i="3"/>
  <c r="M111" i="3"/>
  <c r="AD111" i="3" s="1"/>
  <c r="L111" i="3"/>
  <c r="AC110" i="3"/>
  <c r="P110" i="3"/>
  <c r="M110" i="3"/>
  <c r="AE110" i="3" s="1"/>
  <c r="L110" i="3"/>
  <c r="AC109" i="3"/>
  <c r="P109" i="3"/>
  <c r="M109" i="3"/>
  <c r="AE109" i="3" s="1"/>
  <c r="L109" i="3"/>
  <c r="AC108" i="3"/>
  <c r="P108" i="3"/>
  <c r="M108" i="3"/>
  <c r="AE108" i="3" s="1"/>
  <c r="L108" i="3"/>
  <c r="AC107" i="3"/>
  <c r="P107" i="3"/>
  <c r="M107" i="3"/>
  <c r="AD107" i="3" s="1"/>
  <c r="L107" i="3"/>
  <c r="AC106" i="3"/>
  <c r="P106" i="3"/>
  <c r="M106" i="3"/>
  <c r="AE106" i="3" s="1"/>
  <c r="L106" i="3"/>
  <c r="AC105" i="3"/>
  <c r="P105" i="3"/>
  <c r="M105" i="3"/>
  <c r="AE105" i="3" s="1"/>
  <c r="L105" i="3"/>
  <c r="AC104" i="3"/>
  <c r="P104" i="3"/>
  <c r="M104" i="3"/>
  <c r="AE104" i="3" s="1"/>
  <c r="L104" i="3"/>
  <c r="AC103" i="3"/>
  <c r="P103" i="3"/>
  <c r="M103" i="3"/>
  <c r="L103" i="3"/>
  <c r="AC102" i="3"/>
  <c r="P102" i="3"/>
  <c r="M102" i="3"/>
  <c r="AE102" i="3" s="1"/>
  <c r="L102" i="3"/>
  <c r="AC101" i="3"/>
  <c r="P101" i="3"/>
  <c r="M101" i="3"/>
  <c r="L101" i="3"/>
  <c r="AC100" i="3"/>
  <c r="P100" i="3"/>
  <c r="M100" i="3"/>
  <c r="L100" i="3"/>
  <c r="AC99" i="3"/>
  <c r="P99" i="3"/>
  <c r="M99" i="3"/>
  <c r="AD99" i="3" s="1"/>
  <c r="L99" i="3"/>
  <c r="AC98" i="3"/>
  <c r="P98" i="3"/>
  <c r="M98" i="3"/>
  <c r="L98" i="3"/>
  <c r="AC97" i="3"/>
  <c r="P97" i="3"/>
  <c r="M97" i="3"/>
  <c r="AE97" i="3" s="1"/>
  <c r="L97" i="3"/>
  <c r="AC96" i="3"/>
  <c r="P96" i="3"/>
  <c r="M96" i="3"/>
  <c r="L96" i="3"/>
  <c r="AC95" i="3"/>
  <c r="P95" i="3"/>
  <c r="M95" i="3"/>
  <c r="L95" i="3"/>
  <c r="AC94" i="3"/>
  <c r="P94" i="3"/>
  <c r="M94" i="3"/>
  <c r="AD94" i="3" s="1"/>
  <c r="L94" i="3"/>
  <c r="AC93" i="3"/>
  <c r="P93" i="3"/>
  <c r="M93" i="3"/>
  <c r="L93" i="3"/>
  <c r="AC92" i="3"/>
  <c r="AF92" i="3" s="1"/>
  <c r="P92" i="3"/>
  <c r="M92" i="3"/>
  <c r="AE92" i="3" s="1"/>
  <c r="L92" i="3"/>
  <c r="AC91" i="3"/>
  <c r="P91" i="3"/>
  <c r="M91" i="3"/>
  <c r="L91" i="3"/>
  <c r="AC90" i="3"/>
  <c r="P90" i="3"/>
  <c r="M90" i="3"/>
  <c r="L90" i="3"/>
  <c r="AC89" i="3"/>
  <c r="P89" i="3"/>
  <c r="M89" i="3"/>
  <c r="AD89" i="3" s="1"/>
  <c r="L89" i="3"/>
  <c r="AC88" i="3"/>
  <c r="P88" i="3"/>
  <c r="M88" i="3"/>
  <c r="L88" i="3"/>
  <c r="AC87" i="3"/>
  <c r="P87" i="3"/>
  <c r="M87" i="3"/>
  <c r="AE87" i="3" s="1"/>
  <c r="L87" i="3"/>
  <c r="AC86" i="3"/>
  <c r="P86" i="3"/>
  <c r="M86" i="3"/>
  <c r="L86" i="3"/>
  <c r="AC85" i="3"/>
  <c r="P85" i="3"/>
  <c r="M85" i="3"/>
  <c r="L85" i="3"/>
  <c r="AC84" i="3"/>
  <c r="P84" i="3"/>
  <c r="M84" i="3"/>
  <c r="AD84" i="3" s="1"/>
  <c r="L84" i="3"/>
  <c r="AC83" i="3"/>
  <c r="P83" i="3"/>
  <c r="M83" i="3"/>
  <c r="L83" i="3"/>
  <c r="AC82" i="3"/>
  <c r="P82" i="3"/>
  <c r="M82" i="3"/>
  <c r="AE82" i="3" s="1"/>
  <c r="L82" i="3"/>
  <c r="AC81" i="3"/>
  <c r="P81" i="3"/>
  <c r="M81" i="3"/>
  <c r="L81" i="3"/>
  <c r="AC80" i="3"/>
  <c r="P80" i="3"/>
  <c r="M80" i="3"/>
  <c r="L80" i="3"/>
  <c r="AC79" i="3"/>
  <c r="P79" i="3"/>
  <c r="M79" i="3"/>
  <c r="AD79" i="3" s="1"/>
  <c r="L79" i="3"/>
  <c r="AC78" i="3"/>
  <c r="P78" i="3"/>
  <c r="M78" i="3"/>
  <c r="L78" i="3"/>
  <c r="AC77" i="3"/>
  <c r="P77" i="3"/>
  <c r="M77" i="3"/>
  <c r="AE77" i="3" s="1"/>
  <c r="L77" i="3"/>
  <c r="AC76" i="3"/>
  <c r="P76" i="3"/>
  <c r="M76" i="3"/>
  <c r="L76" i="3"/>
  <c r="AC75" i="3"/>
  <c r="P75" i="3"/>
  <c r="M75" i="3"/>
  <c r="L75" i="3"/>
  <c r="AC74" i="3"/>
  <c r="P74" i="3"/>
  <c r="M74" i="3"/>
  <c r="AD74" i="3" s="1"/>
  <c r="L74" i="3"/>
  <c r="AC73" i="3"/>
  <c r="P73" i="3"/>
  <c r="M73" i="3"/>
  <c r="L73" i="3"/>
  <c r="AC72" i="3"/>
  <c r="P72" i="3"/>
  <c r="M72" i="3"/>
  <c r="AE72" i="3" s="1"/>
  <c r="L72" i="3"/>
  <c r="AC71" i="3"/>
  <c r="P71" i="3"/>
  <c r="M71" i="3"/>
  <c r="L71" i="3"/>
  <c r="AC70" i="3"/>
  <c r="P70" i="3"/>
  <c r="M70" i="3"/>
  <c r="L70" i="3"/>
  <c r="AC69" i="3"/>
  <c r="P69" i="3"/>
  <c r="M69" i="3"/>
  <c r="AD69" i="3" s="1"/>
  <c r="L69" i="3"/>
  <c r="AC68" i="3"/>
  <c r="P68" i="3"/>
  <c r="M68" i="3"/>
  <c r="L68" i="3"/>
  <c r="AC67" i="3"/>
  <c r="P67" i="3"/>
  <c r="M67" i="3"/>
  <c r="AE67" i="3" s="1"/>
  <c r="L67" i="3"/>
  <c r="AC66" i="3"/>
  <c r="P66" i="3"/>
  <c r="M66" i="3"/>
  <c r="L66" i="3"/>
  <c r="AC65" i="3"/>
  <c r="P65" i="3"/>
  <c r="M65" i="3"/>
  <c r="L65" i="3"/>
  <c r="AC64" i="3"/>
  <c r="P64" i="3"/>
  <c r="M64" i="3"/>
  <c r="AD64" i="3" s="1"/>
  <c r="L64" i="3"/>
  <c r="AC63" i="3"/>
  <c r="P63" i="3"/>
  <c r="M63" i="3"/>
  <c r="L63" i="3"/>
  <c r="AC62" i="3"/>
  <c r="AF62" i="3" s="1"/>
  <c r="P62" i="3"/>
  <c r="M62" i="3"/>
  <c r="AE62" i="3" s="1"/>
  <c r="L62" i="3"/>
  <c r="AC61" i="3"/>
  <c r="P61" i="3"/>
  <c r="M61" i="3"/>
  <c r="L61" i="3"/>
  <c r="AC60" i="3"/>
  <c r="P60" i="3"/>
  <c r="M60" i="3"/>
  <c r="L60" i="3"/>
  <c r="AC59" i="3"/>
  <c r="P59" i="3"/>
  <c r="M59" i="3"/>
  <c r="AD59" i="3" s="1"/>
  <c r="L59" i="3"/>
  <c r="AC58" i="3"/>
  <c r="P58" i="3"/>
  <c r="M58" i="3"/>
  <c r="AD58" i="3" s="1"/>
  <c r="L58" i="3"/>
  <c r="AC57" i="3"/>
  <c r="P57" i="3"/>
  <c r="M57" i="3"/>
  <c r="AE57" i="3" s="1"/>
  <c r="L57" i="3"/>
  <c r="AC56" i="3"/>
  <c r="P56" i="3"/>
  <c r="M56" i="3"/>
  <c r="L56" i="3"/>
  <c r="AC55" i="3"/>
  <c r="P55" i="3"/>
  <c r="M55" i="3"/>
  <c r="L55" i="3"/>
  <c r="AC54" i="3"/>
  <c r="P54" i="3"/>
  <c r="M54" i="3"/>
  <c r="AD54" i="3" s="1"/>
  <c r="L54" i="3"/>
  <c r="AC53" i="3"/>
  <c r="P53" i="3"/>
  <c r="M53" i="3"/>
  <c r="L53" i="3"/>
  <c r="AC52" i="3"/>
  <c r="P52" i="3"/>
  <c r="M52" i="3"/>
  <c r="AE52" i="3" s="1"/>
  <c r="L52" i="3"/>
  <c r="AC51" i="3"/>
  <c r="P51" i="3"/>
  <c r="M51" i="3"/>
  <c r="L51" i="3"/>
  <c r="AC50" i="3"/>
  <c r="P50" i="3"/>
  <c r="M50" i="3"/>
  <c r="L50" i="3"/>
  <c r="AC49" i="3"/>
  <c r="P49" i="3"/>
  <c r="M49" i="3"/>
  <c r="AE49" i="3" s="1"/>
  <c r="L49" i="3"/>
  <c r="AC48" i="3"/>
  <c r="P48" i="3"/>
  <c r="M48" i="3"/>
  <c r="AD48" i="3" s="1"/>
  <c r="L48" i="3"/>
  <c r="AC47" i="3"/>
  <c r="P47" i="3"/>
  <c r="M47" i="3"/>
  <c r="AD47" i="3" s="1"/>
  <c r="L47" i="3"/>
  <c r="AC46" i="3"/>
  <c r="P46" i="3"/>
  <c r="M46" i="3"/>
  <c r="L46" i="3"/>
  <c r="AC45" i="3"/>
  <c r="P45" i="3"/>
  <c r="M45" i="3"/>
  <c r="L45" i="3"/>
  <c r="AC44" i="3"/>
  <c r="P44" i="3"/>
  <c r="M44" i="3"/>
  <c r="AD44" i="3" s="1"/>
  <c r="L44" i="3"/>
  <c r="AC43" i="3"/>
  <c r="P43" i="3"/>
  <c r="M43" i="3"/>
  <c r="L43" i="3"/>
  <c r="AC42" i="3"/>
  <c r="P42" i="3"/>
  <c r="M42" i="3"/>
  <c r="AE42" i="3" s="1"/>
  <c r="L42" i="3"/>
  <c r="AC41" i="3"/>
  <c r="P41" i="3"/>
  <c r="M41" i="3"/>
  <c r="L41" i="3"/>
  <c r="AC40" i="3"/>
  <c r="P40" i="3"/>
  <c r="M40" i="3"/>
  <c r="L40" i="3"/>
  <c r="AC39" i="3"/>
  <c r="P39" i="3"/>
  <c r="M39" i="3"/>
  <c r="AE39" i="3" s="1"/>
  <c r="L39" i="3"/>
  <c r="AC38" i="3"/>
  <c r="AE38" i="3"/>
  <c r="AC37" i="3"/>
  <c r="P37" i="3"/>
  <c r="M37" i="3"/>
  <c r="AD37" i="3" s="1"/>
  <c r="L37" i="3"/>
  <c r="AC36" i="3"/>
  <c r="P36" i="3"/>
  <c r="M36" i="3"/>
  <c r="L36" i="3"/>
  <c r="AC35" i="3"/>
  <c r="P35" i="3"/>
  <c r="M35" i="3"/>
  <c r="L35" i="3"/>
  <c r="AC34" i="3"/>
  <c r="P34" i="3"/>
  <c r="M34" i="3"/>
  <c r="AD34" i="3" s="1"/>
  <c r="L34" i="3"/>
  <c r="AC33" i="3"/>
  <c r="P33" i="3"/>
  <c r="M33" i="3"/>
  <c r="L33" i="3"/>
  <c r="AC32" i="3"/>
  <c r="P32" i="3"/>
  <c r="M32" i="3"/>
  <c r="AE32" i="3" s="1"/>
  <c r="L32" i="3"/>
  <c r="AC31" i="3"/>
  <c r="P31" i="3"/>
  <c r="M31" i="3"/>
  <c r="L31" i="3"/>
  <c r="AC30" i="3"/>
  <c r="P30" i="3"/>
  <c r="M30" i="3"/>
  <c r="L30" i="3"/>
  <c r="AC29" i="3"/>
  <c r="P29" i="3"/>
  <c r="M29" i="3"/>
  <c r="AE29" i="3" s="1"/>
  <c r="L29" i="3"/>
  <c r="AC28" i="3"/>
  <c r="P28" i="3"/>
  <c r="M28" i="3"/>
  <c r="L28" i="3"/>
  <c r="AC27" i="3"/>
  <c r="P27" i="3"/>
  <c r="M27" i="3"/>
  <c r="AE27" i="3" s="1"/>
  <c r="L27" i="3"/>
  <c r="AC26" i="3"/>
  <c r="P26" i="3"/>
  <c r="M26" i="3"/>
  <c r="L26" i="3"/>
  <c r="AC25" i="3"/>
  <c r="P25" i="3"/>
  <c r="M25" i="3"/>
  <c r="L25" i="3"/>
  <c r="AC24" i="3"/>
  <c r="P24" i="3"/>
  <c r="M24" i="3"/>
  <c r="AD24" i="3" s="1"/>
  <c r="L24" i="3"/>
  <c r="AC23" i="3"/>
  <c r="P23" i="3"/>
  <c r="M23" i="3"/>
  <c r="AD23" i="3" s="1"/>
  <c r="L23" i="3"/>
  <c r="AC22" i="3"/>
  <c r="AF22" i="3" s="1"/>
  <c r="P22" i="3"/>
  <c r="M22" i="3"/>
  <c r="AE22" i="3" s="1"/>
  <c r="L22" i="3"/>
  <c r="AC21" i="3"/>
  <c r="P21" i="3"/>
  <c r="M21" i="3"/>
  <c r="L21" i="3"/>
  <c r="AC20" i="3"/>
  <c r="P20" i="3"/>
  <c r="M20" i="3"/>
  <c r="L20" i="3"/>
  <c r="AC19" i="3"/>
  <c r="P19" i="3"/>
  <c r="M19" i="3"/>
  <c r="AD19" i="3" s="1"/>
  <c r="L19" i="3"/>
  <c r="AC18" i="3"/>
  <c r="P18" i="3"/>
  <c r="M18" i="3"/>
  <c r="L18" i="3"/>
  <c r="AC17" i="3"/>
  <c r="P17" i="3"/>
  <c r="M17" i="3"/>
  <c r="AE17" i="3" s="1"/>
  <c r="L17" i="3"/>
  <c r="L12" i="3"/>
  <c r="M12" i="3"/>
  <c r="P12" i="3"/>
  <c r="AC12" i="3"/>
  <c r="L13" i="3"/>
  <c r="M13" i="3"/>
  <c r="P13" i="3"/>
  <c r="AC13" i="3"/>
  <c r="L14" i="3"/>
  <c r="M14" i="3"/>
  <c r="AD14" i="3" s="1"/>
  <c r="P14" i="3"/>
  <c r="AC14" i="3"/>
  <c r="L15" i="3"/>
  <c r="M15" i="3"/>
  <c r="AD15" i="3" s="1"/>
  <c r="P15" i="3"/>
  <c r="AC15" i="3"/>
  <c r="L16" i="3"/>
  <c r="M16" i="3"/>
  <c r="P16" i="3"/>
  <c r="AC16" i="3"/>
  <c r="U94" i="3" l="1"/>
  <c r="U114" i="3"/>
  <c r="U75" i="3"/>
  <c r="U76" i="3"/>
  <c r="AF42" i="3"/>
  <c r="AE14" i="3"/>
  <c r="AF151" i="3"/>
  <c r="AB147" i="3" s="1"/>
  <c r="AF150" i="3"/>
  <c r="U78" i="3"/>
  <c r="U54" i="3"/>
  <c r="U136" i="3"/>
  <c r="U138" i="3"/>
  <c r="U140" i="3"/>
  <c r="U141" i="3"/>
  <c r="U143" i="3"/>
  <c r="U145" i="3"/>
  <c r="U146" i="3"/>
  <c r="U16" i="3"/>
  <c r="AE119" i="3"/>
  <c r="AE16" i="3"/>
  <c r="AE15" i="3"/>
  <c r="U12" i="3"/>
  <c r="U25" i="3"/>
  <c r="U26" i="3"/>
  <c r="U28" i="3"/>
  <c r="U50" i="3"/>
  <c r="U51" i="3"/>
  <c r="AE59" i="3"/>
  <c r="AF82" i="3"/>
  <c r="U84" i="3"/>
  <c r="AE129" i="3"/>
  <c r="AF17" i="3"/>
  <c r="U23" i="3"/>
  <c r="U40" i="3"/>
  <c r="U41" i="3"/>
  <c r="AF52" i="3"/>
  <c r="AF57" i="3"/>
  <c r="U65" i="3"/>
  <c r="U66" i="3"/>
  <c r="U68" i="3"/>
  <c r="AF102" i="3"/>
  <c r="U104" i="3"/>
  <c r="AD16" i="3"/>
  <c r="U34" i="3"/>
  <c r="U64" i="3"/>
  <c r="AF12" i="3"/>
  <c r="Z12" i="3" s="1"/>
  <c r="U18" i="3"/>
  <c r="U44" i="3"/>
  <c r="AF72" i="3"/>
  <c r="U74" i="3"/>
  <c r="U85" i="3"/>
  <c r="U86" i="3"/>
  <c r="U88" i="3"/>
  <c r="U95" i="3"/>
  <c r="U96" i="3"/>
  <c r="U98" i="3"/>
  <c r="AF117" i="3"/>
  <c r="U128" i="3"/>
  <c r="U124" i="3"/>
  <c r="AE69" i="3"/>
  <c r="AE79" i="3"/>
  <c r="AE89" i="3"/>
  <c r="AE99" i="3"/>
  <c r="U15" i="3"/>
  <c r="U19" i="3"/>
  <c r="U20" i="3"/>
  <c r="U21" i="3"/>
  <c r="AE23" i="3"/>
  <c r="U30" i="3"/>
  <c r="U31" i="3"/>
  <c r="U33" i="3"/>
  <c r="AE34" i="3"/>
  <c r="AF37" i="3"/>
  <c r="U39" i="3"/>
  <c r="U43" i="3"/>
  <c r="AE44" i="3"/>
  <c r="AF47" i="3"/>
  <c r="U49" i="3"/>
  <c r="U53" i="3"/>
  <c r="AE54" i="3"/>
  <c r="U58" i="3"/>
  <c r="U113" i="3"/>
  <c r="AE114" i="3"/>
  <c r="U118" i="3"/>
  <c r="AF137" i="3"/>
  <c r="U139" i="3"/>
  <c r="AE144" i="3"/>
  <c r="U14" i="3"/>
  <c r="AE24" i="3"/>
  <c r="AF27" i="3"/>
  <c r="U29" i="3"/>
  <c r="U60" i="3"/>
  <c r="U61" i="3"/>
  <c r="U63" i="3"/>
  <c r="AE64" i="3"/>
  <c r="AF67" i="3"/>
  <c r="U69" i="3"/>
  <c r="U70" i="3"/>
  <c r="U71" i="3"/>
  <c r="U73" i="3"/>
  <c r="AE74" i="3"/>
  <c r="AF77" i="3"/>
  <c r="U79" i="3"/>
  <c r="U80" i="3"/>
  <c r="U81" i="3"/>
  <c r="U83" i="3"/>
  <c r="AE84" i="3"/>
  <c r="AF87" i="3"/>
  <c r="U89" i="3"/>
  <c r="U90" i="3"/>
  <c r="U91" i="3"/>
  <c r="AE94" i="3"/>
  <c r="AF97" i="3"/>
  <c r="U99" i="3"/>
  <c r="U100" i="3"/>
  <c r="U101" i="3"/>
  <c r="U103" i="3"/>
  <c r="AD104" i="3"/>
  <c r="AF107" i="3"/>
  <c r="U109" i="3"/>
  <c r="U120" i="3"/>
  <c r="U121" i="3"/>
  <c r="U123" i="3"/>
  <c r="AE124" i="3"/>
  <c r="AF127" i="3"/>
  <c r="U129" i="3"/>
  <c r="U130" i="3"/>
  <c r="U131" i="3"/>
  <c r="U133" i="3"/>
  <c r="AE19" i="3"/>
  <c r="AF32" i="3"/>
  <c r="U35" i="3"/>
  <c r="U36" i="3"/>
  <c r="U45" i="3"/>
  <c r="U46" i="3"/>
  <c r="U55" i="3"/>
  <c r="U56" i="3"/>
  <c r="AE58" i="3"/>
  <c r="U93" i="3"/>
  <c r="AF112" i="3"/>
  <c r="U115" i="3"/>
  <c r="U116" i="3"/>
  <c r="AE118" i="3"/>
  <c r="AE139" i="3"/>
  <c r="U144" i="3"/>
  <c r="U134" i="3"/>
  <c r="U13" i="3"/>
  <c r="AE13" i="3"/>
  <c r="AD13" i="3"/>
  <c r="AD12" i="3"/>
  <c r="AD143" i="3"/>
  <c r="AD145" i="3"/>
  <c r="AD146" i="3"/>
  <c r="AD142" i="3"/>
  <c r="AE143" i="3"/>
  <c r="AE145" i="3"/>
  <c r="AE146" i="3"/>
  <c r="AG150" i="3" s="1"/>
  <c r="U142" i="3"/>
  <c r="AD138" i="3"/>
  <c r="AD140" i="3"/>
  <c r="AD141" i="3"/>
  <c r="AD137" i="3"/>
  <c r="AE138" i="3"/>
  <c r="AE140" i="3"/>
  <c r="AE141" i="3"/>
  <c r="U137" i="3"/>
  <c r="AD132" i="3"/>
  <c r="U135" i="3"/>
  <c r="AD133" i="3"/>
  <c r="AD135" i="3"/>
  <c r="AD136" i="3"/>
  <c r="AE133" i="3"/>
  <c r="AE136" i="3"/>
  <c r="U132" i="3"/>
  <c r="AD134" i="3"/>
  <c r="AD128" i="3"/>
  <c r="AD127" i="3"/>
  <c r="AE128" i="3"/>
  <c r="AE130" i="3"/>
  <c r="AE131" i="3"/>
  <c r="AD130" i="3"/>
  <c r="AD131" i="3"/>
  <c r="U127" i="3"/>
  <c r="AD123" i="3"/>
  <c r="AD122" i="3"/>
  <c r="AE123" i="3"/>
  <c r="AE125" i="3"/>
  <c r="AE126" i="3"/>
  <c r="U122" i="3"/>
  <c r="U125" i="3"/>
  <c r="U126" i="3"/>
  <c r="U119" i="3"/>
  <c r="AD120" i="3"/>
  <c r="AD121" i="3"/>
  <c r="AD117" i="3"/>
  <c r="AE120" i="3"/>
  <c r="AE121" i="3"/>
  <c r="U117" i="3"/>
  <c r="AD113" i="3"/>
  <c r="AD115" i="3"/>
  <c r="AD116" i="3"/>
  <c r="AD112" i="3"/>
  <c r="AE113" i="3"/>
  <c r="AE115" i="3"/>
  <c r="AE116" i="3"/>
  <c r="U112" i="3"/>
  <c r="AD108" i="3"/>
  <c r="AE111" i="3"/>
  <c r="U107" i="3"/>
  <c r="AE107" i="3"/>
  <c r="U108" i="3"/>
  <c r="AD109" i="3"/>
  <c r="U110" i="3"/>
  <c r="U111" i="3"/>
  <c r="AD110" i="3"/>
  <c r="AE103" i="3"/>
  <c r="U105" i="3"/>
  <c r="U106" i="3"/>
  <c r="AD103" i="3"/>
  <c r="AD105" i="3"/>
  <c r="AD106" i="3"/>
  <c r="AD102" i="3"/>
  <c r="U102" i="3"/>
  <c r="AD97" i="3"/>
  <c r="AE98" i="3"/>
  <c r="AE100" i="3"/>
  <c r="AE101" i="3"/>
  <c r="AD98" i="3"/>
  <c r="AD100" i="3"/>
  <c r="AD101" i="3"/>
  <c r="U97" i="3"/>
  <c r="AD92" i="3"/>
  <c r="AE93" i="3"/>
  <c r="AE95" i="3"/>
  <c r="AE96" i="3"/>
  <c r="AD93" i="3"/>
  <c r="AD95" i="3"/>
  <c r="AD96" i="3"/>
  <c r="U92" i="3"/>
  <c r="V92" i="3" s="1"/>
  <c r="AD88" i="3"/>
  <c r="AD87" i="3"/>
  <c r="AE88" i="3"/>
  <c r="AE90" i="3"/>
  <c r="AE91" i="3"/>
  <c r="AD90" i="3"/>
  <c r="AD91" i="3"/>
  <c r="U87" i="3"/>
  <c r="AD82" i="3"/>
  <c r="AE83" i="3"/>
  <c r="AE85" i="3"/>
  <c r="AE86" i="3"/>
  <c r="AD83" i="3"/>
  <c r="AD85" i="3"/>
  <c r="AD86" i="3"/>
  <c r="U82" i="3"/>
  <c r="AD78" i="3"/>
  <c r="AD77" i="3"/>
  <c r="AE78" i="3"/>
  <c r="AE80" i="3"/>
  <c r="AE81" i="3"/>
  <c r="AD80" i="3"/>
  <c r="AD81" i="3"/>
  <c r="U77" i="3"/>
  <c r="AD72" i="3"/>
  <c r="AE73" i="3"/>
  <c r="AE75" i="3"/>
  <c r="AE76" i="3"/>
  <c r="AD73" i="3"/>
  <c r="AD75" i="3"/>
  <c r="AD76" i="3"/>
  <c r="U72" i="3"/>
  <c r="AD68" i="3"/>
  <c r="AD67" i="3"/>
  <c r="AE68" i="3"/>
  <c r="AE70" i="3"/>
  <c r="AE71" i="3"/>
  <c r="AD70" i="3"/>
  <c r="AD71" i="3"/>
  <c r="U67" i="3"/>
  <c r="AD62" i="3"/>
  <c r="AE63" i="3"/>
  <c r="AE65" i="3"/>
  <c r="AE66" i="3"/>
  <c r="AD63" i="3"/>
  <c r="AD65" i="3"/>
  <c r="AD66" i="3"/>
  <c r="U62" i="3"/>
  <c r="U59" i="3"/>
  <c r="AD60" i="3"/>
  <c r="AD61" i="3"/>
  <c r="AD57" i="3"/>
  <c r="AE60" i="3"/>
  <c r="AE61" i="3"/>
  <c r="U57" i="3"/>
  <c r="AD53" i="3"/>
  <c r="AD52" i="3"/>
  <c r="AE53" i="3"/>
  <c r="AE55" i="3"/>
  <c r="AE56" i="3"/>
  <c r="AD55" i="3"/>
  <c r="AD56" i="3"/>
  <c r="U52" i="3"/>
  <c r="AD50" i="3"/>
  <c r="AD51" i="3"/>
  <c r="AE48" i="3"/>
  <c r="AE50" i="3"/>
  <c r="AE51" i="3"/>
  <c r="U47" i="3"/>
  <c r="AE47" i="3"/>
  <c r="U48" i="3"/>
  <c r="AD49" i="3"/>
  <c r="AD42" i="3"/>
  <c r="AE43" i="3"/>
  <c r="AE45" i="3"/>
  <c r="AE46" i="3"/>
  <c r="AD43" i="3"/>
  <c r="AD45" i="3"/>
  <c r="AD46" i="3"/>
  <c r="U42" i="3"/>
  <c r="AD40" i="3"/>
  <c r="AD41" i="3"/>
  <c r="AE37" i="3"/>
  <c r="AD39" i="3"/>
  <c r="AD38" i="3"/>
  <c r="AE40" i="3"/>
  <c r="AE41" i="3"/>
  <c r="AD33" i="3"/>
  <c r="AD35" i="3"/>
  <c r="AD36" i="3"/>
  <c r="AD32" i="3"/>
  <c r="AE33" i="3"/>
  <c r="AE35" i="3"/>
  <c r="AE36" i="3"/>
  <c r="U32" i="3"/>
  <c r="AD28" i="3"/>
  <c r="AD30" i="3"/>
  <c r="AD31" i="3"/>
  <c r="AD27" i="3"/>
  <c r="AE28" i="3"/>
  <c r="AE30" i="3"/>
  <c r="AE31" i="3"/>
  <c r="U27" i="3"/>
  <c r="AD29" i="3"/>
  <c r="U24" i="3"/>
  <c r="AD25" i="3"/>
  <c r="AD26" i="3"/>
  <c r="AD22" i="3"/>
  <c r="AE25" i="3"/>
  <c r="AE26" i="3"/>
  <c r="U22" i="3"/>
  <c r="AD17" i="3"/>
  <c r="AE18" i="3"/>
  <c r="AE20" i="3"/>
  <c r="AE21" i="3"/>
  <c r="AD18" i="3"/>
  <c r="AD20" i="3"/>
  <c r="AD21" i="3"/>
  <c r="U17" i="3"/>
  <c r="AE12" i="3"/>
  <c r="Y42" i="3" l="1"/>
  <c r="Z42" i="3"/>
  <c r="Z37" i="3"/>
  <c r="Y37" i="3"/>
  <c r="AG151" i="3"/>
  <c r="V137" i="3"/>
  <c r="AF15" i="3"/>
  <c r="AA147" i="3"/>
  <c r="V42" i="3"/>
  <c r="AF51" i="3"/>
  <c r="AB47" i="3" s="1"/>
  <c r="V62" i="3"/>
  <c r="V67" i="3"/>
  <c r="V72" i="3"/>
  <c r="V77" i="3"/>
  <c r="V82" i="3"/>
  <c r="V87" i="3"/>
  <c r="V97" i="3"/>
  <c r="AG106" i="3"/>
  <c r="V102" i="3"/>
  <c r="V127" i="3"/>
  <c r="AG141" i="3"/>
  <c r="V12" i="3"/>
  <c r="AG21" i="3"/>
  <c r="V112" i="3"/>
  <c r="V117" i="3"/>
  <c r="V132" i="3"/>
  <c r="V142" i="3"/>
  <c r="AG125" i="3"/>
  <c r="V52" i="3"/>
  <c r="V17" i="3"/>
  <c r="V22" i="3"/>
  <c r="V27" i="3"/>
  <c r="V32" i="3"/>
  <c r="V47" i="3"/>
  <c r="AG121" i="3"/>
  <c r="AG31" i="3"/>
  <c r="AG36" i="3"/>
  <c r="AG46" i="3"/>
  <c r="AG56" i="3"/>
  <c r="AG66" i="3"/>
  <c r="AG76" i="3"/>
  <c r="AG86" i="3"/>
  <c r="AG95" i="3"/>
  <c r="AG101" i="3"/>
  <c r="AG130" i="3"/>
  <c r="AG146" i="3"/>
  <c r="AG61" i="3"/>
  <c r="AG105" i="3"/>
  <c r="AF16" i="3"/>
  <c r="AB12" i="3" s="1"/>
  <c r="AG20" i="3"/>
  <c r="AG26" i="3"/>
  <c r="AF40" i="3"/>
  <c r="V57" i="3"/>
  <c r="AG71" i="3"/>
  <c r="AG81" i="3"/>
  <c r="AG91" i="3"/>
  <c r="AF111" i="3"/>
  <c r="AB107" i="3" s="1"/>
  <c r="AG116" i="3"/>
  <c r="AG126" i="3"/>
  <c r="AG131" i="3"/>
  <c r="AG136" i="3"/>
  <c r="AG145" i="3"/>
  <c r="AF146" i="3"/>
  <c r="AB142" i="3" s="1"/>
  <c r="AF145" i="3"/>
  <c r="AG140" i="3"/>
  <c r="AF141" i="3"/>
  <c r="AB137" i="3" s="1"/>
  <c r="AF140" i="3"/>
  <c r="AG135" i="3"/>
  <c r="AF136" i="3"/>
  <c r="AB132" i="3" s="1"/>
  <c r="AF135" i="3"/>
  <c r="AF131" i="3"/>
  <c r="AB127" i="3" s="1"/>
  <c r="AF130" i="3"/>
  <c r="AF126" i="3"/>
  <c r="AB122" i="3" s="1"/>
  <c r="AF125" i="3"/>
  <c r="V122" i="3"/>
  <c r="AG120" i="3"/>
  <c r="AF121" i="3"/>
  <c r="AB117" i="3" s="1"/>
  <c r="AF120" i="3"/>
  <c r="AF116" i="3"/>
  <c r="AB112" i="3" s="1"/>
  <c r="AF115" i="3"/>
  <c r="AG115" i="3"/>
  <c r="AG111" i="3"/>
  <c r="AG110" i="3"/>
  <c r="V107" i="3"/>
  <c r="AF110" i="3"/>
  <c r="AF106" i="3"/>
  <c r="AB102" i="3" s="1"/>
  <c r="AF105" i="3"/>
  <c r="AF101" i="3"/>
  <c r="AB97" i="3" s="1"/>
  <c r="AF100" i="3"/>
  <c r="AG100" i="3"/>
  <c r="AG96" i="3"/>
  <c r="AF96" i="3"/>
  <c r="AB92" i="3" s="1"/>
  <c r="AF95" i="3"/>
  <c r="AF91" i="3"/>
  <c r="AB87" i="3" s="1"/>
  <c r="AF90" i="3"/>
  <c r="AG90" i="3"/>
  <c r="AG85" i="3"/>
  <c r="AF86" i="3"/>
  <c r="AB82" i="3" s="1"/>
  <c r="AF85" i="3"/>
  <c r="AF81" i="3"/>
  <c r="AB77" i="3" s="1"/>
  <c r="AF80" i="3"/>
  <c r="AG80" i="3"/>
  <c r="AG75" i="3"/>
  <c r="AF76" i="3"/>
  <c r="AB72" i="3" s="1"/>
  <c r="AF75" i="3"/>
  <c r="AF71" i="3"/>
  <c r="AB67" i="3" s="1"/>
  <c r="AF70" i="3"/>
  <c r="AG70" i="3"/>
  <c r="AG65" i="3"/>
  <c r="AF66" i="3"/>
  <c r="AB62" i="3" s="1"/>
  <c r="AF65" i="3"/>
  <c r="AG60" i="3"/>
  <c r="AF61" i="3"/>
  <c r="AB57" i="3" s="1"/>
  <c r="AF60" i="3"/>
  <c r="AF56" i="3"/>
  <c r="AB52" i="3" s="1"/>
  <c r="AF55" i="3"/>
  <c r="AG55" i="3"/>
  <c r="AG51" i="3"/>
  <c r="AG50" i="3"/>
  <c r="AF50" i="3"/>
  <c r="AG45" i="3"/>
  <c r="AF46" i="3"/>
  <c r="AB42" i="3" s="1"/>
  <c r="AF45" i="3"/>
  <c r="AG41" i="3"/>
  <c r="AG40" i="3"/>
  <c r="AF41" i="3"/>
  <c r="AB37" i="3" s="1"/>
  <c r="AG35" i="3"/>
  <c r="AF36" i="3"/>
  <c r="AB32" i="3" s="1"/>
  <c r="AF35" i="3"/>
  <c r="AG30" i="3"/>
  <c r="AF31" i="3"/>
  <c r="AB27" i="3" s="1"/>
  <c r="AF30" i="3"/>
  <c r="AF26" i="3"/>
  <c r="AB22" i="3" s="1"/>
  <c r="AF25" i="3"/>
  <c r="AG25" i="3"/>
  <c r="AF21" i="3"/>
  <c r="AB17" i="3" s="1"/>
  <c r="AF20" i="3"/>
  <c r="AA37" i="3" l="1"/>
  <c r="AA102" i="3"/>
  <c r="AA127" i="3"/>
  <c r="AA17" i="3"/>
  <c r="AA122" i="3"/>
  <c r="AA27" i="3"/>
  <c r="AA72" i="3"/>
  <c r="AA107" i="3"/>
  <c r="AA142" i="3"/>
  <c r="AA77" i="3"/>
  <c r="AA92" i="3"/>
  <c r="AA97" i="3"/>
  <c r="AA57" i="3"/>
  <c r="AA132" i="3"/>
  <c r="AA52" i="3"/>
  <c r="AA112" i="3"/>
  <c r="AA42" i="3"/>
  <c r="AA62" i="3"/>
  <c r="AA67" i="3"/>
  <c r="AA82" i="3"/>
  <c r="AA87" i="3"/>
  <c r="AA137" i="3"/>
  <c r="AA117" i="3"/>
  <c r="AA47" i="3"/>
  <c r="AA32" i="3"/>
  <c r="AA22" i="3"/>
  <c r="P2" i="3" l="1"/>
  <c r="P3" i="3"/>
  <c r="P4" i="3"/>
  <c r="P5" i="3"/>
  <c r="P6" i="3"/>
  <c r="P7" i="3"/>
  <c r="P8" i="3"/>
  <c r="P9" i="3"/>
  <c r="P10" i="3"/>
  <c r="P11" i="3"/>
  <c r="AC2" i="3" l="1"/>
  <c r="AC3" i="3"/>
  <c r="AC4" i="3"/>
  <c r="AC5" i="3"/>
  <c r="AC6" i="3"/>
  <c r="AC7" i="3"/>
  <c r="AC8" i="3"/>
  <c r="AC9" i="3"/>
  <c r="AC10" i="3"/>
  <c r="AC11" i="3"/>
  <c r="C2" i="3" l="1"/>
  <c r="B2" i="3"/>
  <c r="B3" i="3" s="1"/>
  <c r="B4" i="3" s="1"/>
  <c r="B5" i="3" s="1"/>
  <c r="B6" i="3" s="1"/>
  <c r="A3" i="3"/>
  <c r="C3" i="3" s="1"/>
  <c r="A7" i="3"/>
  <c r="AF2" i="3"/>
  <c r="Z2" i="3" s="1"/>
  <c r="X2" i="3" l="1"/>
  <c r="C7" i="3"/>
  <c r="A12" i="3"/>
  <c r="B7" i="3"/>
  <c r="B8" i="3" s="1"/>
  <c r="B9" i="3" s="1"/>
  <c r="B10" i="3" s="1"/>
  <c r="B11" i="3" s="1"/>
  <c r="A8" i="3"/>
  <c r="A4" i="3"/>
  <c r="AF7" i="3"/>
  <c r="X7" i="3" l="1"/>
  <c r="X12" i="3" s="1"/>
  <c r="X17" i="3" s="1"/>
  <c r="X22" i="3" s="1"/>
  <c r="X27" i="3" s="1"/>
  <c r="X32" i="3" s="1"/>
  <c r="X37" i="3" s="1"/>
  <c r="X42" i="3" s="1"/>
  <c r="X47" i="3" s="1"/>
  <c r="X52" i="3" s="1"/>
  <c r="X57" i="3" s="1"/>
  <c r="X62" i="3" s="1"/>
  <c r="X67" i="3" s="1"/>
  <c r="X72" i="3" s="1"/>
  <c r="X77" i="3" s="1"/>
  <c r="X82" i="3" s="1"/>
  <c r="X87" i="3" s="1"/>
  <c r="X92" i="3" s="1"/>
  <c r="X97" i="3" s="1"/>
  <c r="X102" i="3" s="1"/>
  <c r="X107" i="3" s="1"/>
  <c r="X112" i="3" s="1"/>
  <c r="X117" i="3" s="1"/>
  <c r="X122" i="3" s="1"/>
  <c r="X127" i="3" s="1"/>
  <c r="X132" i="3" s="1"/>
  <c r="X137" i="3" s="1"/>
  <c r="X142" i="3" s="1"/>
  <c r="X147" i="3" s="1"/>
  <c r="C12" i="3"/>
  <c r="A17" i="3"/>
  <c r="B12" i="3"/>
  <c r="B13" i="3" s="1"/>
  <c r="B14" i="3" s="1"/>
  <c r="B15" i="3" s="1"/>
  <c r="B16" i="3" s="1"/>
  <c r="A13" i="3"/>
  <c r="A5" i="3"/>
  <c r="C4" i="3"/>
  <c r="A9" i="3"/>
  <c r="C8" i="3"/>
  <c r="C17" i="3" l="1"/>
  <c r="A22" i="3"/>
  <c r="A18" i="3"/>
  <c r="B17" i="3"/>
  <c r="B18" i="3" s="1"/>
  <c r="B19" i="3" s="1"/>
  <c r="B20" i="3" s="1"/>
  <c r="B21" i="3" s="1"/>
  <c r="C13" i="3"/>
  <c r="A14" i="3"/>
  <c r="A10" i="3"/>
  <c r="C9" i="3"/>
  <c r="A6" i="3"/>
  <c r="C6" i="3" s="1"/>
  <c r="C5" i="3"/>
  <c r="C18" i="3" l="1"/>
  <c r="A19" i="3"/>
  <c r="A15" i="3"/>
  <c r="C14" i="3"/>
  <c r="C22" i="3"/>
  <c r="A27" i="3"/>
  <c r="B22" i="3"/>
  <c r="B23" i="3" s="1"/>
  <c r="B24" i="3" s="1"/>
  <c r="B25" i="3" s="1"/>
  <c r="B26" i="3" s="1"/>
  <c r="A23" i="3"/>
  <c r="AH112" i="3"/>
  <c r="A11" i="3"/>
  <c r="C11" i="3" s="1"/>
  <c r="C10" i="3"/>
  <c r="A24" i="3" l="1"/>
  <c r="C23" i="3"/>
  <c r="C15" i="3"/>
  <c r="A16" i="3"/>
  <c r="C16" i="3" s="1"/>
  <c r="C27" i="3"/>
  <c r="A32" i="3"/>
  <c r="B27" i="3"/>
  <c r="B28" i="3" s="1"/>
  <c r="B29" i="3" s="1"/>
  <c r="B30" i="3" s="1"/>
  <c r="B31" i="3" s="1"/>
  <c r="A28" i="3"/>
  <c r="C19" i="3"/>
  <c r="A20" i="3"/>
  <c r="M11" i="3"/>
  <c r="L11" i="3"/>
  <c r="M10" i="3"/>
  <c r="L10" i="3"/>
  <c r="M9" i="3"/>
  <c r="L9" i="3"/>
  <c r="M8" i="3"/>
  <c r="L8" i="3"/>
  <c r="M7" i="3"/>
  <c r="L7" i="3"/>
  <c r="M6" i="3"/>
  <c r="L6" i="3"/>
  <c r="M5" i="3"/>
  <c r="L5" i="3"/>
  <c r="M4" i="3"/>
  <c r="L4" i="3"/>
  <c r="M3" i="3"/>
  <c r="L3" i="3"/>
  <c r="M2" i="3"/>
  <c r="L2" i="3"/>
  <c r="A21" i="3" l="1"/>
  <c r="C21" i="3" s="1"/>
  <c r="C20" i="3"/>
  <c r="C32" i="3"/>
  <c r="A37" i="3"/>
  <c r="A33" i="3"/>
  <c r="B32" i="3"/>
  <c r="B33" i="3" s="1"/>
  <c r="B34" i="3" s="1"/>
  <c r="B35" i="3" s="1"/>
  <c r="B36" i="3" s="1"/>
  <c r="A29" i="3"/>
  <c r="C28" i="3"/>
  <c r="A25" i="3"/>
  <c r="C24" i="3"/>
  <c r="AD2" i="3"/>
  <c r="AE2" i="3"/>
  <c r="AD4" i="3"/>
  <c r="AE4" i="3"/>
  <c r="AD6" i="3"/>
  <c r="AE6" i="3"/>
  <c r="AD8" i="3"/>
  <c r="AE8" i="3"/>
  <c r="AD10" i="3"/>
  <c r="AE10" i="3"/>
  <c r="AE3" i="3"/>
  <c r="AD3" i="3"/>
  <c r="AE5" i="3"/>
  <c r="AD5" i="3"/>
  <c r="AE7" i="3"/>
  <c r="AD7" i="3"/>
  <c r="AE9" i="3"/>
  <c r="AD9" i="3"/>
  <c r="AE11" i="3"/>
  <c r="AD11" i="3"/>
  <c r="U10" i="3"/>
  <c r="U5" i="3"/>
  <c r="U4" i="3"/>
  <c r="U3" i="3"/>
  <c r="U6" i="3"/>
  <c r="U11" i="3"/>
  <c r="U7" i="3"/>
  <c r="U8" i="3"/>
  <c r="U9" i="3"/>
  <c r="U2" i="3"/>
  <c r="AG15" i="3" l="1"/>
  <c r="AA12" i="3" s="1"/>
  <c r="AG16" i="3"/>
  <c r="C29" i="3"/>
  <c r="A30" i="3"/>
  <c r="C37" i="3"/>
  <c r="A42" i="3"/>
  <c r="B37" i="3"/>
  <c r="B38" i="3" s="1"/>
  <c r="B39" i="3" s="1"/>
  <c r="B40" i="3" s="1"/>
  <c r="B41" i="3" s="1"/>
  <c r="A38" i="3"/>
  <c r="A26" i="3"/>
  <c r="C26" i="3" s="1"/>
  <c r="C25" i="3"/>
  <c r="A34" i="3"/>
  <c r="C33" i="3"/>
  <c r="AF6" i="3"/>
  <c r="AB2" i="3" s="1"/>
  <c r="AF5" i="3"/>
  <c r="AF11" i="3"/>
  <c r="AB7" i="3" s="1"/>
  <c r="AF10" i="3"/>
  <c r="V7" i="3"/>
  <c r="V2" i="3"/>
  <c r="AG6" i="3" s="1"/>
  <c r="A39" i="3" l="1"/>
  <c r="C38" i="3"/>
  <c r="C42" i="3"/>
  <c r="A47" i="3"/>
  <c r="B42" i="3"/>
  <c r="B43" i="3" s="1"/>
  <c r="B44" i="3" s="1"/>
  <c r="B45" i="3" s="1"/>
  <c r="B46" i="3" s="1"/>
  <c r="A43" i="3"/>
  <c r="A35" i="3"/>
  <c r="C34" i="3"/>
  <c r="C30" i="3"/>
  <c r="A31" i="3"/>
  <c r="C31" i="3" s="1"/>
  <c r="AG5" i="3"/>
  <c r="AA2" i="3" s="1"/>
  <c r="W7" i="3"/>
  <c r="W12" i="3" s="1"/>
  <c r="W17" i="3" s="1"/>
  <c r="W22" i="3" s="1"/>
  <c r="W27" i="3" s="1"/>
  <c r="W32" i="3" s="1"/>
  <c r="AG10" i="3"/>
  <c r="AA7" i="3" s="1"/>
  <c r="A36" i="3" l="1"/>
  <c r="C36" i="3" s="1"/>
  <c r="C35" i="3"/>
  <c r="B47" i="3"/>
  <c r="B48" i="3" s="1"/>
  <c r="B49" i="3" s="1"/>
  <c r="B50" i="3" s="1"/>
  <c r="B51" i="3" s="1"/>
  <c r="A52" i="3"/>
  <c r="C47" i="3"/>
  <c r="A48" i="3"/>
  <c r="C43" i="3"/>
  <c r="A44" i="3"/>
  <c r="C39" i="3"/>
  <c r="A40" i="3"/>
  <c r="AG11" i="3"/>
  <c r="C40" i="3" l="1"/>
  <c r="A41" i="3"/>
  <c r="C41" i="3" s="1"/>
  <c r="C52" i="3"/>
  <c r="A57" i="3"/>
  <c r="A53" i="3"/>
  <c r="B52" i="3"/>
  <c r="B53" i="3" s="1"/>
  <c r="B54" i="3" s="1"/>
  <c r="B55" i="3" s="1"/>
  <c r="B56" i="3" s="1"/>
  <c r="A49" i="3"/>
  <c r="C48" i="3"/>
  <c r="C44" i="3"/>
  <c r="A45" i="3"/>
  <c r="A50" i="3" l="1"/>
  <c r="C49" i="3"/>
  <c r="C57" i="3"/>
  <c r="A62" i="3"/>
  <c r="A58" i="3"/>
  <c r="B57" i="3"/>
  <c r="B58" i="3" s="1"/>
  <c r="B59" i="3" s="1"/>
  <c r="B60" i="3" s="1"/>
  <c r="B61" i="3" s="1"/>
  <c r="A46" i="3"/>
  <c r="C46" i="3" s="1"/>
  <c r="C45" i="3"/>
  <c r="C53" i="3"/>
  <c r="A54" i="3"/>
  <c r="C62" i="3" l="1"/>
  <c r="A67" i="3"/>
  <c r="B62" i="3"/>
  <c r="B63" i="3" s="1"/>
  <c r="B64" i="3" s="1"/>
  <c r="B65" i="3" s="1"/>
  <c r="B66" i="3" s="1"/>
  <c r="A63" i="3"/>
  <c r="C54" i="3"/>
  <c r="A55" i="3"/>
  <c r="A59" i="3"/>
  <c r="C58" i="3"/>
  <c r="A51" i="3"/>
  <c r="C51" i="3" s="1"/>
  <c r="C50" i="3"/>
  <c r="C63" i="3" l="1"/>
  <c r="A64" i="3"/>
  <c r="A56" i="3"/>
  <c r="C56" i="3" s="1"/>
  <c r="C55" i="3"/>
  <c r="A60" i="3"/>
  <c r="C59" i="3"/>
  <c r="C67" i="3"/>
  <c r="A72" i="3"/>
  <c r="B67" i="3"/>
  <c r="B68" i="3" s="1"/>
  <c r="B69" i="3" s="1"/>
  <c r="B70" i="3" s="1"/>
  <c r="B71" i="3" s="1"/>
  <c r="A68" i="3"/>
  <c r="C72" i="3" l="1"/>
  <c r="A77" i="3"/>
  <c r="A73" i="3"/>
  <c r="B72" i="3"/>
  <c r="B73" i="3" s="1"/>
  <c r="B74" i="3" s="1"/>
  <c r="B75" i="3" s="1"/>
  <c r="B76" i="3" s="1"/>
  <c r="A69" i="3"/>
  <c r="C68" i="3"/>
  <c r="C64" i="3"/>
  <c r="A65" i="3"/>
  <c r="C60" i="3"/>
  <c r="A61" i="3"/>
  <c r="C61" i="3" s="1"/>
  <c r="A66" i="3" l="1"/>
  <c r="C66" i="3" s="1"/>
  <c r="C65" i="3"/>
  <c r="A74" i="3"/>
  <c r="C73" i="3"/>
  <c r="A70" i="3"/>
  <c r="C69" i="3"/>
  <c r="C77" i="3"/>
  <c r="A82" i="3"/>
  <c r="B77" i="3"/>
  <c r="B78" i="3" s="1"/>
  <c r="B79" i="3" s="1"/>
  <c r="B80" i="3" s="1"/>
  <c r="B81" i="3" s="1"/>
  <c r="A78" i="3"/>
  <c r="C74" i="3" l="1"/>
  <c r="A75" i="3"/>
  <c r="C82" i="3"/>
  <c r="A87" i="3"/>
  <c r="B82" i="3"/>
  <c r="B83" i="3" s="1"/>
  <c r="B84" i="3" s="1"/>
  <c r="B85" i="3" s="1"/>
  <c r="B86" i="3" s="1"/>
  <c r="A83" i="3"/>
  <c r="C78" i="3"/>
  <c r="A79" i="3"/>
  <c r="C70" i="3"/>
  <c r="A71" i="3"/>
  <c r="C71" i="3" s="1"/>
  <c r="C87" i="3" l="1"/>
  <c r="A92" i="3"/>
  <c r="B87" i="3"/>
  <c r="B88" i="3" s="1"/>
  <c r="B89" i="3" s="1"/>
  <c r="B90" i="3" s="1"/>
  <c r="B91" i="3" s="1"/>
  <c r="A88" i="3"/>
  <c r="C83" i="3"/>
  <c r="A84" i="3"/>
  <c r="A80" i="3"/>
  <c r="C79" i="3"/>
  <c r="A76" i="3"/>
  <c r="C76" i="3" s="1"/>
  <c r="C75" i="3"/>
  <c r="C84" i="3" l="1"/>
  <c r="A85" i="3"/>
  <c r="C92" i="3"/>
  <c r="A97" i="3"/>
  <c r="A93" i="3"/>
  <c r="B92" i="3"/>
  <c r="B93" i="3" s="1"/>
  <c r="B94" i="3" s="1"/>
  <c r="B95" i="3" s="1"/>
  <c r="B96" i="3" s="1"/>
  <c r="C80" i="3"/>
  <c r="A81" i="3"/>
  <c r="C81" i="3" s="1"/>
  <c r="A89" i="3"/>
  <c r="C88" i="3"/>
  <c r="C97" i="3" l="1"/>
  <c r="A102" i="3"/>
  <c r="A98" i="3"/>
  <c r="B97" i="3"/>
  <c r="B98" i="3" s="1"/>
  <c r="B99" i="3" s="1"/>
  <c r="B100" i="3" s="1"/>
  <c r="B101" i="3" s="1"/>
  <c r="A90" i="3"/>
  <c r="C89" i="3"/>
  <c r="A94" i="3"/>
  <c r="C93" i="3"/>
  <c r="A86" i="3"/>
  <c r="C86" i="3" s="1"/>
  <c r="C85" i="3"/>
  <c r="C94" i="3" l="1"/>
  <c r="A95" i="3"/>
  <c r="C98" i="3"/>
  <c r="A99" i="3"/>
  <c r="C90" i="3"/>
  <c r="A91" i="3"/>
  <c r="C91" i="3" s="1"/>
  <c r="C102" i="3"/>
  <c r="A107" i="3"/>
  <c r="A103" i="3"/>
  <c r="B102" i="3"/>
  <c r="B103" i="3" s="1"/>
  <c r="B104" i="3" s="1"/>
  <c r="B105" i="3" s="1"/>
  <c r="B106" i="3" s="1"/>
  <c r="A108" i="3" l="1"/>
  <c r="A112" i="3"/>
  <c r="C107" i="3"/>
  <c r="B107" i="3"/>
  <c r="B108" i="3" s="1"/>
  <c r="B109" i="3" s="1"/>
  <c r="B110" i="3" s="1"/>
  <c r="B111" i="3" s="1"/>
  <c r="C99" i="3"/>
  <c r="A100" i="3"/>
  <c r="A96" i="3"/>
  <c r="C96" i="3" s="1"/>
  <c r="C95" i="3"/>
  <c r="A104" i="3"/>
  <c r="C103" i="3"/>
  <c r="C100" i="3" l="1"/>
  <c r="A101" i="3"/>
  <c r="C101" i="3" s="1"/>
  <c r="A105" i="3"/>
  <c r="C104" i="3"/>
  <c r="C112" i="3"/>
  <c r="A117" i="3"/>
  <c r="A113" i="3"/>
  <c r="B112" i="3"/>
  <c r="B113" i="3" s="1"/>
  <c r="B114" i="3" s="1"/>
  <c r="B115" i="3" s="1"/>
  <c r="B116" i="3" s="1"/>
  <c r="C108" i="3"/>
  <c r="A109" i="3"/>
  <c r="C109" i="3" l="1"/>
  <c r="A110" i="3"/>
  <c r="A114" i="3"/>
  <c r="C113" i="3"/>
  <c r="C105" i="3"/>
  <c r="A106" i="3"/>
  <c r="C106" i="3" s="1"/>
  <c r="C117" i="3"/>
  <c r="A122" i="3"/>
  <c r="A118" i="3"/>
  <c r="B117" i="3"/>
  <c r="B118" i="3" s="1"/>
  <c r="B119" i="3" s="1"/>
  <c r="B120" i="3" s="1"/>
  <c r="B121" i="3" s="1"/>
  <c r="A123" i="3" l="1"/>
  <c r="A127" i="3"/>
  <c r="C122" i="3"/>
  <c r="B122" i="3"/>
  <c r="B123" i="3" s="1"/>
  <c r="B124" i="3" s="1"/>
  <c r="B125" i="3" s="1"/>
  <c r="B126" i="3" s="1"/>
  <c r="A115" i="3"/>
  <c r="C114" i="3"/>
  <c r="A111" i="3"/>
  <c r="C111" i="3" s="1"/>
  <c r="C110" i="3"/>
  <c r="C118" i="3"/>
  <c r="A119" i="3"/>
  <c r="A120" i="3" l="1"/>
  <c r="C119" i="3"/>
  <c r="C115" i="3"/>
  <c r="A116" i="3"/>
  <c r="C116" i="3" s="1"/>
  <c r="C127" i="3"/>
  <c r="A132" i="3"/>
  <c r="B127" i="3"/>
  <c r="B128" i="3" s="1"/>
  <c r="B129" i="3" s="1"/>
  <c r="B130" i="3" s="1"/>
  <c r="B131" i="3" s="1"/>
  <c r="A128" i="3"/>
  <c r="C123" i="3"/>
  <c r="A124" i="3"/>
  <c r="C132" i="3" l="1"/>
  <c r="A137" i="3"/>
  <c r="B132" i="3"/>
  <c r="B133" i="3" s="1"/>
  <c r="B134" i="3" s="1"/>
  <c r="B135" i="3" s="1"/>
  <c r="B136" i="3" s="1"/>
  <c r="A133" i="3"/>
  <c r="A129" i="3"/>
  <c r="C128" i="3"/>
  <c r="A125" i="3"/>
  <c r="C124" i="3"/>
  <c r="C120" i="3"/>
  <c r="A121" i="3"/>
  <c r="C121" i="3" s="1"/>
  <c r="A126" i="3" l="1"/>
  <c r="C126" i="3" s="1"/>
  <c r="C125" i="3"/>
  <c r="A134" i="3"/>
  <c r="C133" i="3"/>
  <c r="C129" i="3"/>
  <c r="A130" i="3"/>
  <c r="C137" i="3"/>
  <c r="A142" i="3"/>
  <c r="A147" i="3" s="1"/>
  <c r="A138" i="3"/>
  <c r="B137" i="3"/>
  <c r="B138" i="3" s="1"/>
  <c r="B139" i="3" s="1"/>
  <c r="B140" i="3" s="1"/>
  <c r="B141" i="3" s="1"/>
  <c r="A143" i="3" l="1"/>
  <c r="B142" i="3"/>
  <c r="B143" i="3" s="1"/>
  <c r="B144" i="3" s="1"/>
  <c r="B145" i="3" s="1"/>
  <c r="B146" i="3" s="1"/>
  <c r="B147" i="3" s="1"/>
  <c r="B148" i="3" s="1"/>
  <c r="B149" i="3" s="1"/>
  <c r="B150" i="3" s="1"/>
  <c r="B151" i="3" s="1"/>
  <c r="C142" i="3"/>
  <c r="A135" i="3"/>
  <c r="C134" i="3"/>
  <c r="C130" i="3"/>
  <c r="A131" i="3"/>
  <c r="C131" i="3" s="1"/>
  <c r="A139" i="3"/>
  <c r="C138" i="3"/>
  <c r="C139" i="3" l="1"/>
  <c r="A140" i="3"/>
  <c r="A136" i="3"/>
  <c r="C136" i="3" s="1"/>
  <c r="C135" i="3"/>
  <c r="A144" i="3"/>
  <c r="C143" i="3"/>
  <c r="C140" i="3" l="1"/>
  <c r="A141" i="3"/>
  <c r="C141" i="3" s="1"/>
  <c r="A145" i="3"/>
  <c r="C144" i="3"/>
  <c r="C145" i="3" l="1"/>
  <c r="A146" i="3"/>
  <c r="C146" i="3" l="1"/>
  <c r="A148" i="3" l="1"/>
  <c r="C147" i="3"/>
  <c r="C148" i="3" l="1"/>
  <c r="A149" i="3"/>
  <c r="C149" i="3" l="1"/>
  <c r="A150" i="3"/>
  <c r="A151" i="3" l="1"/>
  <c r="C150" i="3"/>
  <c r="C151" i="3" l="1"/>
  <c r="P38" i="3"/>
  <c r="U38" i="3"/>
  <c r="W37" i="3" s="1"/>
  <c r="W42" i="3" s="1"/>
  <c r="W47" i="3" s="1"/>
  <c r="W52" i="3" s="1"/>
  <c r="W57" i="3" s="1"/>
  <c r="W62" i="3" s="1"/>
  <c r="W67" i="3" s="1"/>
  <c r="W72" i="3" s="1"/>
  <c r="W77" i="3" s="1"/>
  <c r="W82" i="3" s="1"/>
  <c r="W87" i="3" s="1"/>
  <c r="W92" i="3" s="1"/>
  <c r="W97" i="3" s="1"/>
  <c r="W102" i="3" s="1"/>
  <c r="W107" i="3" s="1"/>
  <c r="W112" i="3" s="1"/>
  <c r="W117" i="3" s="1"/>
  <c r="W122" i="3" s="1"/>
  <c r="W127" i="3" s="1"/>
  <c r="W132" i="3" s="1"/>
  <c r="W137" i="3" s="1"/>
  <c r="W142" i="3" s="1"/>
  <c r="W14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Efrain Marcelo</author>
  </authors>
  <commentList>
    <comment ref="W2" authorId="0" shapeId="0" xr:uid="{DE808F94-F655-44A2-ABE9-2D1E3910551F}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CAMBIAR MONTO DE LA CUENTA INICIAL AL MES
</t>
        </r>
      </text>
    </comment>
    <comment ref="Z2" authorId="0" shapeId="0" xr:uid="{54CC76F1-180C-45CD-8EF6-43DD5D8CD02D}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AF2" authorId="0" shapeId="0" xr:uid="{C1FD78E0-83CE-4FEC-93DF-1D584D7584BF}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Cuenta N° de operaciones
</t>
        </r>
      </text>
    </comment>
    <comment ref="AF5" authorId="0" shapeId="0" xr:uid="{621CD20B-9458-4DC7-8280-5F75A3FE8702}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Suma total Positivo
</t>
        </r>
      </text>
    </comment>
    <comment ref="AG5" authorId="0" shapeId="0" xr:uid="{4E769E27-B1A8-4CBB-943F-8A462708BA5C}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Suma total Negativo</t>
        </r>
      </text>
    </comment>
    <comment ref="AF6" authorId="0" shapeId="0" xr:uid="{A01A423E-1B86-471F-9051-F315D9AA6B1C}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cuenta operaciones positivas</t>
        </r>
      </text>
    </comment>
    <comment ref="AG6" authorId="0" shapeId="0" xr:uid="{083A70F8-FB83-4714-94F0-47EE56454CA6}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Cuenta operaciones Negativas</t>
        </r>
      </text>
    </comment>
    <comment ref="Z7" authorId="0" shapeId="0" xr:uid="{C55DE989-7F73-490B-93B3-CFA87FABFD6E}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12" authorId="0" shapeId="0" xr:uid="{87171B7F-23C0-40B9-958B-CE22BF78528F}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17" authorId="0" shapeId="0" xr:uid="{A91D730B-F297-467B-8B47-68FA9DF2D4DA}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22" authorId="0" shapeId="0" xr:uid="{6F609F7F-D8A1-4F1E-91F8-3A162E5D451D}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27" authorId="0" shapeId="0" xr:uid="{80BFF18F-EE53-4BED-9DC0-7966C6E1FF77}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32" authorId="0" shapeId="0" xr:uid="{2FD165DF-7F09-4D33-9B6D-86653F1F3A69}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37" authorId="0" shapeId="0" xr:uid="{D6CF53B2-2D5D-453E-B90F-E833C5AFD3A5}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42" authorId="0" shapeId="0" xr:uid="{0F1D4B22-2DE5-4E14-B92E-ED97AAF665C9}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47" authorId="0" shapeId="0" xr:uid="{55AF5906-D8D0-4A90-9EA5-6FDE6F0D1BD2}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52" authorId="0" shapeId="0" xr:uid="{37C569D8-B97E-451B-8624-EC561373065C}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57" authorId="0" shapeId="0" xr:uid="{32CAB988-3846-491D-B0CD-FBA7B0CD1651}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62" authorId="0" shapeId="0" xr:uid="{593AF49C-1640-4D28-8F3A-EA6670296005}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67" authorId="0" shapeId="0" xr:uid="{3AE6D44D-AF86-4C13-A712-BE1FE243CF9A}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72" authorId="0" shapeId="0" xr:uid="{4DF45A88-0F31-421E-B9CA-5E309D5C13D7}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77" authorId="0" shapeId="0" xr:uid="{B362529D-8A27-4782-ADD4-8FB5001F4EA0}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82" authorId="0" shapeId="0" xr:uid="{3A5483CF-D75F-42E4-9D48-3288A12F9FFA}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87" authorId="0" shapeId="0" xr:uid="{55E917A3-CADD-408D-A8D5-DEBF8ABB631A}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92" authorId="0" shapeId="0" xr:uid="{D331CF1E-62EF-4362-A07A-403AB9ADAAFB}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97" authorId="0" shapeId="0" xr:uid="{1C3B166E-8E4C-4DB2-8C60-63CD549C13E8}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102" authorId="0" shapeId="0" xr:uid="{11672391-E2FA-4DC2-9A24-A614CC2D8E95}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107" authorId="0" shapeId="0" xr:uid="{780C9F53-D73D-4FA1-9B2C-FE277A289C2B}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112" authorId="0" shapeId="0" xr:uid="{62B126F8-F31B-4F51-BF65-4B7CD2FCE515}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117" authorId="0" shapeId="0" xr:uid="{8622EF4F-CA33-4EDC-A41E-CF1B8CFA775F}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122" authorId="0" shapeId="0" xr:uid="{FB88D35E-DAD1-47C0-B8A8-020610FD9628}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127" authorId="0" shapeId="0" xr:uid="{15B5D08B-68CD-4B41-8FD0-9C05B22D5A34}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132" authorId="0" shapeId="0" xr:uid="{006A1A68-248A-4B79-AEE3-F324AD87B029}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137" authorId="0" shapeId="0" xr:uid="{6FC41F20-6C7D-4CA3-9909-D124F7D5C9E2}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142" authorId="0" shapeId="0" xr:uid="{19E60DF9-4BEA-4994-BB91-3635B60468F1}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  <comment ref="Z147" authorId="0" shapeId="0" xr:uid="{BECD050C-7371-44B6-9990-B3048FBD0E32}">
      <text>
        <r>
          <rPr>
            <b/>
            <sz val="9"/>
            <color indexed="81"/>
            <rFont val="Tahoma"/>
            <family val="2"/>
          </rPr>
          <t>Efrain Marcelo:</t>
        </r>
        <r>
          <rPr>
            <sz val="9"/>
            <color indexed="81"/>
            <rFont val="Tahoma"/>
            <family val="2"/>
          </rPr>
          <t xml:space="preserve">
MODIFICAR EL OBJETIVO DIARIO</t>
        </r>
      </text>
    </comment>
  </commentList>
</comments>
</file>

<file path=xl/sharedStrings.xml><?xml version="1.0" encoding="utf-8"?>
<sst xmlns="http://schemas.openxmlformats.org/spreadsheetml/2006/main" count="131" uniqueCount="84">
  <si>
    <t>DÍAS</t>
  </si>
  <si>
    <t>TIPO DE OPERACIÓN</t>
  </si>
  <si>
    <t>DIFERENCIA EN MONEDA</t>
  </si>
  <si>
    <t>CONSOLIDADO DE TODAS LAS OPERACIONES</t>
  </si>
  <si>
    <t>RESULTADO DEL DÍA</t>
  </si>
  <si>
    <t>ENTRY STRATEGY</t>
  </si>
  <si>
    <t>DESDE CLUSTER</t>
  </si>
  <si>
    <t>HACIA CLUSTER</t>
  </si>
  <si>
    <t>LALA</t>
  </si>
  <si>
    <t>CLUSTER A CLUSTER</t>
  </si>
  <si>
    <t>TIEMPO DE VUELO</t>
  </si>
  <si>
    <t>EXIT REASON</t>
  </si>
  <si>
    <t>FACTOR 
CONT.MICRO</t>
  </si>
  <si>
    <t>N° CONTRATOS</t>
  </si>
  <si>
    <t>PRECIO DE ENTRADA</t>
  </si>
  <si>
    <t>HORA DE SALIDA</t>
  </si>
  <si>
    <t>HORA DE APERTURA</t>
  </si>
  <si>
    <t>PRECIO DE SALIDA</t>
  </si>
  <si>
    <t>FC</t>
  </si>
  <si>
    <t>FR</t>
  </si>
  <si>
    <t>FECHA</t>
  </si>
  <si>
    <t>SEMANA</t>
  </si>
  <si>
    <t>N°</t>
  </si>
  <si>
    <t>BS</t>
  </si>
  <si>
    <t>NE</t>
  </si>
  <si>
    <t>BUY</t>
  </si>
  <si>
    <t>SELL</t>
  </si>
  <si>
    <t>PF</t>
  </si>
  <si>
    <t>AB</t>
  </si>
  <si>
    <t>Total Positivo</t>
  </si>
  <si>
    <t>Total Negativo</t>
  </si>
  <si>
    <t>Etiquetas de fila</t>
  </si>
  <si>
    <t>Total general</t>
  </si>
  <si>
    <t>Suma de RESULTADO DEL DÍA</t>
  </si>
  <si>
    <t>Suma de PF</t>
  </si>
  <si>
    <t>Suma de AB</t>
  </si>
  <si>
    <t>Suma de Total Positivo</t>
  </si>
  <si>
    <t>Suma de Total Negativo</t>
  </si>
  <si>
    <t>Etiquetas de columna</t>
  </si>
  <si>
    <t>Cuenta mas Objetivo</t>
  </si>
  <si>
    <t>Total Cuenta Real</t>
  </si>
  <si>
    <t>Suma de Total Cuenta Real</t>
  </si>
  <si>
    <t>Suma de Cuenta mas Objetivo</t>
  </si>
  <si>
    <t>Suma de TIEMPO DE VUELO</t>
  </si>
  <si>
    <t>Suma de CONSOLIDADO DE TODAS LAS OPERACIONES</t>
  </si>
  <si>
    <t>N</t>
  </si>
  <si>
    <t>Comision</t>
  </si>
  <si>
    <t>Entered</t>
  </si>
  <si>
    <t>Filled/Canceled</t>
  </si>
  <si>
    <t>Symbol</t>
  </si>
  <si>
    <t>Spread</t>
  </si>
  <si>
    <t>Type</t>
  </si>
  <si>
    <t>Quantity</t>
  </si>
  <si>
    <t>Qty Filled</t>
  </si>
  <si>
    <t>Qty Left</t>
  </si>
  <si>
    <t>Stop</t>
  </si>
  <si>
    <t>Limit</t>
  </si>
  <si>
    <t>Filled Price</t>
  </si>
  <si>
    <t>Order Status</t>
  </si>
  <si>
    <t>Route</t>
  </si>
  <si>
    <t>Duration</t>
  </si>
  <si>
    <t>Group Name</t>
  </si>
  <si>
    <t>Triggered By</t>
  </si>
  <si>
    <t>Advanced</t>
  </si>
  <si>
    <t>Order#</t>
  </si>
  <si>
    <t>Account</t>
  </si>
  <si>
    <t>Originator</t>
  </si>
  <si>
    <t>Commission</t>
  </si>
  <si>
    <t>Contract Exp Date</t>
  </si>
  <si>
    <t>Monto inciado bitacora</t>
  </si>
  <si>
    <t>Diferencia de moneda</t>
  </si>
  <si>
    <t>utilidad</t>
  </si>
  <si>
    <t>Total ganado menos comision</t>
  </si>
  <si>
    <t>PRIMERA ROJA</t>
  </si>
  <si>
    <t>PRIMERA VERDE</t>
  </si>
  <si>
    <t>(Todas)</t>
  </si>
  <si>
    <t>Cuenta N° de Operaciones</t>
  </si>
  <si>
    <t>Perdidad  presupuestada</t>
  </si>
  <si>
    <t>Objetivo presupuestado</t>
  </si>
  <si>
    <t>Cambio Tendencia iRatio</t>
  </si>
  <si>
    <t xml:space="preserve"> </t>
  </si>
  <si>
    <t>TSL</t>
  </si>
  <si>
    <t>Seguimiento Drone</t>
  </si>
  <si>
    <t>Gerencia Errada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</si>
</sst>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8" formatCode="&quot;$&quot;#,##0.00_);[Red]\(&quot;$&quot;#,##0.00\)"/>
    <numFmt numFmtId="164" formatCode="[$-F400]h:mm:ss\ AM/PM"/>
    <numFmt numFmtId="165" formatCode="_-[$$-240A]\ * #,##0.00_-;\-[$$-240A]\ * #,##0.00_-;_-[$$-240A]\ * &quot;-&quot;??_-;_-@"/>
    <numFmt numFmtId="166" formatCode="_-[$$-240A]\ * #,##0_-;\-[$$-240A]\ * #,##0_-;_-[$$-240A]\ * &quot;-&quot;??_-;_-@"/>
    <numFmt numFmtId="167" formatCode="0.0"/>
    <numFmt numFmtId="168" formatCode="dddd"/>
    <numFmt numFmtId="169" formatCode="ddd"/>
    <numFmt numFmtId="170" formatCode="&quot;$&quot;#,##0.00"/>
  </numFmts>
  <fonts count="15" x14ac:knownFonts="1">
    <font>
      <sz val="11"/>
      <color theme="1"/>
      <name val="Arial"/>
    </font>
    <font>
      <sz val="11"/>
      <name val="Arial"/>
    </font>
    <font>
      <b/>
      <sz val="10"/>
      <color theme="0"/>
      <name val="Calibri"/>
    </font>
    <font>
      <sz val="10"/>
      <color theme="1"/>
      <name val="Calibri"/>
    </font>
    <font>
      <b/>
      <sz val="10"/>
      <color theme="0"/>
      <name val="Calibri"/>
      <family val="2"/>
    </font>
    <font>
      <b/>
      <sz val="11"/>
      <name val="Calibri"/>
      <family val="2"/>
    </font>
    <font>
      <b/>
      <sz val="11"/>
      <color theme="1"/>
      <name val="Calibri"/>
      <family val="2"/>
    </font>
    <font>
      <sz val="10"/>
      <color theme="1"/>
      <name val="Calibri"/>
      <family val="2"/>
    </font>
    <font>
      <sz val="11"/>
      <color theme="1"/>
      <name val="Arial"/>
    </font>
    <font>
      <sz val="10"/>
      <color theme="0"/>
      <name val="Calibri"/>
      <family val="2"/>
    </font>
    <font>
      <b/>
      <sz val="8"/>
      <name val="Calibri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4" tint="0.79998168889431442"/>
        <bgColor rgb="FF7F7F7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34998626667073579"/>
        <bgColor indexed="64"/>
      </patternFill>
    </fill>
  </fills>
  <borders count="18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86">
    <xf numFmtId="0" fontId="0" fillId="0" borderId="0" xfId="0" applyFont="1" applyAlignment="1"/>
    <xf numFmtId="0" fontId="0" fillId="0" borderId="0" xfId="0" applyFont="1" applyAlignment="1"/>
    <xf numFmtId="0" fontId="1" fillId="0" borderId="0" xfId="0" applyFont="1" applyFill="1" applyBorder="1" applyAlignment="1"/>
    <xf numFmtId="1" fontId="0" fillId="0" borderId="0" xfId="0" applyNumberFormat="1" applyFont="1" applyAlignment="1"/>
    <xf numFmtId="167" fontId="0" fillId="0" borderId="0" xfId="0" applyNumberFormat="1" applyFont="1" applyAlignment="1"/>
    <xf numFmtId="0" fontId="0" fillId="0" borderId="0" xfId="0" applyFont="1" applyAlignment="1">
      <alignment horizontal="left"/>
    </xf>
    <xf numFmtId="166" fontId="1" fillId="0" borderId="0" xfId="0" applyNumberFormat="1" applyFont="1" applyFill="1" applyBorder="1" applyAlignment="1"/>
    <xf numFmtId="1" fontId="0" fillId="0" borderId="0" xfId="0" applyNumberFormat="1" applyFont="1" applyBorder="1" applyAlignment="1"/>
    <xf numFmtId="166" fontId="9" fillId="5" borderId="0" xfId="0" applyNumberFormat="1" applyFont="1" applyFill="1" applyBorder="1" applyAlignment="1">
      <alignment horizontal="center" vertical="center"/>
    </xf>
    <xf numFmtId="167" fontId="1" fillId="0" borderId="0" xfId="0" applyNumberFormat="1" applyFont="1" applyFill="1" applyBorder="1" applyAlignment="1"/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4" fillId="2" borderId="2" xfId="0" applyFont="1" applyFill="1" applyBorder="1" applyAlignment="1" applyProtection="1">
      <alignment horizontal="center" vertical="center" wrapText="1"/>
      <protection locked="0"/>
    </xf>
    <xf numFmtId="0" fontId="2" fillId="2" borderId="3" xfId="0" applyFont="1" applyFill="1" applyBorder="1" applyAlignment="1" applyProtection="1">
      <alignment horizontal="center" vertical="center" wrapText="1"/>
      <protection locked="0"/>
    </xf>
    <xf numFmtId="0" fontId="4" fillId="2" borderId="3" xfId="0" applyFont="1" applyFill="1" applyBorder="1" applyAlignment="1" applyProtection="1">
      <alignment horizontal="center" vertical="center" wrapText="1"/>
      <protection locked="0"/>
    </xf>
    <xf numFmtId="0" fontId="2" fillId="2" borderId="4" xfId="0" applyFont="1" applyFill="1" applyBorder="1" applyAlignment="1" applyProtection="1">
      <alignment horizontal="center" vertical="center" wrapText="1"/>
      <protection locked="0"/>
    </xf>
    <xf numFmtId="166" fontId="9" fillId="5" borderId="0" xfId="0" applyNumberFormat="1" applyFont="1" applyFill="1" applyBorder="1" applyAlignment="1" applyProtection="1">
      <alignment horizontal="center" vertical="center"/>
      <protection locked="0"/>
    </xf>
    <xf numFmtId="16" fontId="5" fillId="3" borderId="6" xfId="0" applyNumberFormat="1" applyFont="1" applyFill="1" applyBorder="1" applyAlignment="1" applyProtection="1">
      <alignment vertical="center" readingOrder="2"/>
      <protection locked="0"/>
    </xf>
    <xf numFmtId="0" fontId="5" fillId="3" borderId="6" xfId="0" applyFont="1" applyFill="1" applyBorder="1" applyAlignment="1" applyProtection="1">
      <alignment vertical="center" readingOrder="2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6" fillId="0" borderId="5" xfId="0" applyFont="1" applyFill="1" applyBorder="1" applyAlignment="1" applyProtection="1">
      <alignment horizontal="center" vertical="center"/>
      <protection locked="0"/>
    </xf>
    <xf numFmtId="164" fontId="3" fillId="0" borderId="5" xfId="0" applyNumberFormat="1" applyFont="1" applyFill="1" applyBorder="1" applyAlignment="1" applyProtection="1">
      <alignment horizontal="center" vertical="center"/>
      <protection locked="0"/>
    </xf>
    <xf numFmtId="165" fontId="3" fillId="0" borderId="5" xfId="0" applyNumberFormat="1" applyFont="1" applyFill="1" applyBorder="1" applyAlignment="1" applyProtection="1">
      <alignment horizontal="center" vertical="center"/>
      <protection locked="0"/>
    </xf>
    <xf numFmtId="20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0" fontId="3" fillId="4" borderId="5" xfId="0" applyFont="1" applyFill="1" applyBorder="1" applyAlignment="1" applyProtection="1">
      <alignment horizontal="center" vertical="center"/>
      <protection locked="0"/>
    </xf>
    <xf numFmtId="1" fontId="3" fillId="0" borderId="5" xfId="0" applyNumberFormat="1" applyFont="1" applyFill="1" applyBorder="1" applyAlignment="1" applyProtection="1">
      <alignment horizontal="center" vertical="center"/>
      <protection locked="0"/>
    </xf>
    <xf numFmtId="167" fontId="3" fillId="0" borderId="5" xfId="0" applyNumberFormat="1" applyFont="1" applyFill="1" applyBorder="1" applyAlignment="1" applyProtection="1">
      <alignment horizontal="center" vertical="center"/>
      <protection locked="0"/>
    </xf>
    <xf numFmtId="166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0" borderId="0" xfId="0" applyNumberFormat="1" applyFont="1" applyFill="1" applyBorder="1" applyAlignment="1" applyProtection="1">
      <alignment horizontal="center" vertical="center"/>
      <protection locked="0"/>
    </xf>
    <xf numFmtId="166" fontId="1" fillId="0" borderId="0" xfId="0" applyNumberFormat="1" applyFont="1" applyFill="1" applyBorder="1" applyAlignment="1" applyProtection="1">
      <protection locked="0"/>
    </xf>
    <xf numFmtId="16" fontId="5" fillId="3" borderId="7" xfId="0" applyNumberFormat="1" applyFont="1" applyFill="1" applyBorder="1" applyAlignment="1" applyProtection="1">
      <alignment vertical="center" readingOrder="2"/>
      <protection locked="0"/>
    </xf>
    <xf numFmtId="0" fontId="5" fillId="3" borderId="7" xfId="0" applyFont="1" applyFill="1" applyBorder="1" applyAlignment="1" applyProtection="1">
      <alignment vertical="center" readingOrder="2"/>
      <protection locked="0"/>
    </xf>
    <xf numFmtId="16" fontId="5" fillId="3" borderId="8" xfId="0" applyNumberFormat="1" applyFont="1" applyFill="1" applyBorder="1" applyAlignment="1" applyProtection="1">
      <alignment vertical="center" readingOrder="2"/>
      <protection locked="0"/>
    </xf>
    <xf numFmtId="0" fontId="5" fillId="3" borderId="8" xfId="0" applyFont="1" applyFill="1" applyBorder="1" applyAlignment="1" applyProtection="1">
      <alignment vertical="center" readingOrder="2"/>
      <protection locked="0"/>
    </xf>
    <xf numFmtId="165" fontId="7" fillId="0" borderId="5" xfId="0" applyNumberFormat="1" applyFont="1" applyFill="1" applyBorder="1" applyAlignment="1" applyProtection="1">
      <alignment horizontal="center" vertical="center"/>
      <protection locked="0"/>
    </xf>
    <xf numFmtId="0" fontId="3" fillId="0" borderId="9" xfId="0" applyFont="1" applyFill="1" applyBorder="1" applyAlignment="1" applyProtection="1">
      <alignment horizontal="center" vertical="center"/>
      <protection locked="0"/>
    </xf>
    <xf numFmtId="0" fontId="5" fillId="3" borderId="10" xfId="0" applyFont="1" applyFill="1" applyBorder="1" applyAlignment="1" applyProtection="1">
      <alignment vertical="center" readingOrder="2"/>
      <protection locked="0"/>
    </xf>
    <xf numFmtId="0" fontId="5" fillId="3" borderId="11" xfId="0" applyFont="1" applyFill="1" applyBorder="1" applyAlignment="1" applyProtection="1">
      <alignment vertical="center" readingOrder="2"/>
      <protection locked="0"/>
    </xf>
    <xf numFmtId="0" fontId="5" fillId="3" borderId="12" xfId="0" applyFont="1" applyFill="1" applyBorder="1" applyAlignment="1" applyProtection="1">
      <alignment vertical="center" readingOrder="2"/>
      <protection locked="0"/>
    </xf>
    <xf numFmtId="166" fontId="3" fillId="0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pivotButton="1" applyFont="1" applyAlignment="1"/>
    <xf numFmtId="16" fontId="0" fillId="0" borderId="0" xfId="0" applyNumberFormat="1" applyFont="1" applyAlignment="1">
      <alignment horizontal="left"/>
    </xf>
    <xf numFmtId="0" fontId="0" fillId="0" borderId="0" xfId="0" applyNumberFormat="1" applyFont="1" applyAlignment="1"/>
    <xf numFmtId="0" fontId="0" fillId="0" borderId="0" xfId="0" applyFont="1" applyFill="1" applyAlignment="1"/>
    <xf numFmtId="16" fontId="0" fillId="0" borderId="0" xfId="0" applyNumberFormat="1" applyFont="1" applyFill="1" applyAlignment="1">
      <alignment horizontal="left"/>
    </xf>
    <xf numFmtId="0" fontId="0" fillId="0" borderId="0" xfId="0" applyNumberFormat="1" applyFont="1" applyFill="1" applyAlignment="1"/>
    <xf numFmtId="168" fontId="0" fillId="0" borderId="0" xfId="0" applyNumberFormat="1" applyFont="1" applyAlignment="1">
      <alignment horizontal="left"/>
    </xf>
    <xf numFmtId="0" fontId="4" fillId="2" borderId="0" xfId="0" applyFont="1" applyFill="1" applyBorder="1" applyAlignment="1" applyProtection="1">
      <alignment horizontal="center" vertical="center" wrapText="1"/>
      <protection locked="0"/>
    </xf>
    <xf numFmtId="20" fontId="0" fillId="0" borderId="0" xfId="0" applyNumberFormat="1" applyFont="1" applyAlignment="1"/>
    <xf numFmtId="0" fontId="0" fillId="6" borderId="0" xfId="0" applyFont="1" applyFill="1" applyAlignment="1"/>
    <xf numFmtId="0" fontId="0" fillId="6" borderId="10" xfId="0" applyFont="1" applyFill="1" applyBorder="1" applyAlignment="1"/>
    <xf numFmtId="0" fontId="0" fillId="6" borderId="13" xfId="0" applyFont="1" applyFill="1" applyBorder="1" applyAlignment="1"/>
    <xf numFmtId="0" fontId="0" fillId="6" borderId="14" xfId="0" applyFont="1" applyFill="1" applyBorder="1" applyAlignment="1"/>
    <xf numFmtId="0" fontId="0" fillId="6" borderId="11" xfId="0" applyFont="1" applyFill="1" applyBorder="1" applyAlignment="1"/>
    <xf numFmtId="0" fontId="0" fillId="6" borderId="0" xfId="0" applyFont="1" applyFill="1" applyBorder="1" applyAlignment="1"/>
    <xf numFmtId="0" fontId="0" fillId="6" borderId="15" xfId="0" applyFont="1" applyFill="1" applyBorder="1" applyAlignment="1"/>
    <xf numFmtId="14" fontId="0" fillId="6" borderId="0" xfId="0" applyNumberFormat="1" applyFont="1" applyFill="1" applyBorder="1" applyAlignment="1"/>
    <xf numFmtId="0" fontId="0" fillId="6" borderId="12" xfId="0" applyFont="1" applyFill="1" applyBorder="1" applyAlignment="1"/>
    <xf numFmtId="0" fontId="0" fillId="6" borderId="16" xfId="0" applyFont="1" applyFill="1" applyBorder="1" applyAlignment="1"/>
    <xf numFmtId="0" fontId="0" fillId="6" borderId="17" xfId="0" applyFont="1" applyFill="1" applyBorder="1" applyAlignment="1"/>
    <xf numFmtId="169" fontId="10" fillId="3" borderId="6" xfId="0" applyNumberFormat="1" applyFont="1" applyFill="1" applyBorder="1" applyAlignment="1" applyProtection="1">
      <alignment horizontal="left" vertical="center" readingOrder="2"/>
      <protection locked="0"/>
    </xf>
    <xf numFmtId="169" fontId="10" fillId="3" borderId="7" xfId="0" applyNumberFormat="1" applyFont="1" applyFill="1" applyBorder="1" applyAlignment="1" applyProtection="1">
      <alignment horizontal="left" vertical="center" readingOrder="2"/>
      <protection locked="0"/>
    </xf>
    <xf numFmtId="169" fontId="10" fillId="3" borderId="8" xfId="0" applyNumberFormat="1" applyFont="1" applyFill="1" applyBorder="1" applyAlignment="1" applyProtection="1">
      <alignment horizontal="left" vertical="center" readingOrder="2"/>
      <protection locked="0"/>
    </xf>
    <xf numFmtId="0" fontId="0" fillId="0" borderId="0" xfId="0"/>
    <xf numFmtId="22" fontId="0" fillId="0" borderId="0" xfId="0" applyNumberFormat="1"/>
    <xf numFmtId="170" fontId="0" fillId="0" borderId="0" xfId="0" applyNumberFormat="1"/>
    <xf numFmtId="8" fontId="0" fillId="0" borderId="0" xfId="0" applyNumberFormat="1"/>
    <xf numFmtId="15" fontId="0" fillId="0" borderId="0" xfId="0" applyNumberFormat="1"/>
    <xf numFmtId="9" fontId="0" fillId="0" borderId="0" xfId="0" applyNumberFormat="1" applyFont="1" applyAlignment="1"/>
    <xf numFmtId="0" fontId="12" fillId="0" borderId="0" xfId="0" applyFont="1" applyAlignment="1"/>
    <xf numFmtId="20" fontId="7" fillId="4" borderId="5" xfId="0" applyNumberFormat="1" applyFont="1" applyFill="1" applyBorder="1" applyAlignment="1" applyProtection="1">
      <alignment horizontal="center" vertical="center"/>
      <protection locked="0"/>
    </xf>
    <xf numFmtId="165" fontId="7" fillId="4" borderId="5" xfId="0" applyNumberFormat="1" applyFont="1" applyFill="1" applyBorder="1" applyAlignment="1" applyProtection="1">
      <alignment horizontal="center" vertical="center"/>
      <protection locked="0"/>
    </xf>
    <xf numFmtId="0" fontId="7" fillId="4" borderId="5" xfId="0" applyFont="1" applyFill="1" applyBorder="1" applyAlignment="1" applyProtection="1">
      <alignment horizontal="center" vertical="center"/>
      <protection locked="0"/>
    </xf>
    <xf numFmtId="166" fontId="7" fillId="4" borderId="5" xfId="0" applyNumberFormat="1" applyFont="1" applyFill="1" applyBorder="1" applyAlignment="1" applyProtection="1">
      <alignment horizontal="center" vertical="center"/>
      <protection locked="0"/>
    </xf>
    <xf numFmtId="16" fontId="0" fillId="0" borderId="0" xfId="0" applyNumberFormat="1" applyFont="1" applyAlignment="1"/>
    <xf numFmtId="0" fontId="7" fillId="0" borderId="5" xfId="0" applyFont="1" applyFill="1" applyBorder="1" applyAlignment="1" applyProtection="1">
      <alignment horizontal="center" vertical="center"/>
      <protection locked="0"/>
    </xf>
    <xf numFmtId="164" fontId="7" fillId="0" borderId="5" xfId="0" applyNumberFormat="1" applyFont="1" applyFill="1" applyBorder="1" applyAlignment="1" applyProtection="1">
      <alignment horizontal="center" vertical="center"/>
      <protection locked="0"/>
    </xf>
    <xf numFmtId="0" fontId="7" fillId="4" borderId="5" xfId="0" applyNumberFormat="1" applyFont="1" applyFill="1" applyBorder="1" applyAlignment="1" applyProtection="1">
      <alignment horizontal="center" vertical="center"/>
      <protection locked="0"/>
    </xf>
    <xf numFmtId="1" fontId="7" fillId="0" borderId="5" xfId="0" applyNumberFormat="1" applyFont="1" applyFill="1" applyBorder="1" applyAlignment="1" applyProtection="1">
      <alignment horizontal="center" vertical="center"/>
      <protection locked="0"/>
    </xf>
    <xf numFmtId="167" fontId="7" fillId="0" borderId="5" xfId="0" applyNumberFormat="1" applyFont="1" applyFill="1" applyBorder="1" applyAlignment="1" applyProtection="1">
      <alignment horizontal="center" vertical="center"/>
      <protection locked="0"/>
    </xf>
    <xf numFmtId="2" fontId="9" fillId="5" borderId="0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5" xfId="1" applyNumberFormat="1" applyFont="1" applyFill="1" applyBorder="1" applyAlignment="1" applyProtection="1">
      <alignment horizontal="center" vertical="center"/>
      <protection locked="0"/>
    </xf>
    <xf numFmtId="0" fontId="0" fillId="0" borderId="5" xfId="0" applyFont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alignment horizontal="center" vertical="center"/>
      <protection locked="0"/>
    </xf>
    <xf numFmtId="9" fontId="3" fillId="0" borderId="5" xfId="1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Porcentaje" xfId="1" builtinId="5"/>
  </cellStyles>
  <dxfs count="4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6" formatCode="_-[$$-240A]\ * #,##0_-;\-[$$-240A]\ * #,##0_-;_-[$$-240A]\ * &quot;-&quot;??_-;_-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6" formatCode="_-[$$-240A]\ * #,##0_-;\-[$$-240A]\ * #,##0_-;_-[$$-240A]\ * &quot;-&quot;??_-;_-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66" formatCode="_-[$$-240A]\ * #,##0_-;\-[$$-240A]\ * #,##0_-;_-[$$-240A]\ * &quot;-&quot;??_-;_-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66" formatCode="_-[$$-240A]\ * #,##0_-;\-[$$-240A]\ * #,##0_-;_-[$$-240A]\ * &quot;-&quot;??_-;_-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65" formatCode="_-[$$-240A]\ * #,##0.00_-;\-[$$-240A]\ * #,##0.00_-;_-[$$-240A]\ * &quot;-&quot;??_-;_-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65" formatCode="_-[$$-240A]\ * #,##0.00_-;\-[$$-240A]\ * #,##0.00_-;_-[$$-240A]\ * &quot;-&quot;??_-;_-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65" formatCode="_-[$$-240A]\ * #,##0.00_-;\-[$$-240A]\ * #,##0.00_-;_-[$$-240A]\ * &quot;-&quot;??_-;_-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65" formatCode="_-[$$-240A]\ * #,##0.00_-;\-[$$-240A]\ * #,##0.00_-;_-[$$-240A]\ * &quot;-&quot;??_-;_-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65" formatCode="_-[$$-240A]\ * #,##0.00_-;\-[$$-240A]\ * #,##0.00_-;_-[$$-240A]\ * &quot;-&quot;??_-;_-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66" formatCode="_-[$$-240A]\ * #,##0_-;\-[$$-240A]\ * #,##0_-;_-[$$-240A]\ * &quot;-&quot;??_-;_-@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67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65" formatCode="_-[$$-240A]\ * #,##0.00_-;\-[$$-240A]\ * #,##0.00_-;_-[$$-240A]\ * &quot;-&quot;??_-;_-@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65" formatCode="_-[$$-240A]\ * #,##0.00_-;\-[$$-240A]\ * #,##0.00_-;_-[$$-240A]\ * &quot;-&quot;??_-;_-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5" formatCode="h:mm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65" formatCode="_-[$$-240A]\ * #,##0.00_-;\-[$$-240A]\ * #,##0.00_-;_-[$$-240A]\ * &quot;-&quot;??_-;_-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65" formatCode="_-[$$-240A]\ * #,##0.00_-;\-[$$-240A]\ * #,##0.00_-;_-[$$-240A]\ * &quot;-&quot;??_-;_-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64" formatCode="[$-F400]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65" formatCode="_-[$$-240A]\ * #,##0.00_-;\-[$$-240A]\ * #,##0.00_-;_-[$$-240A]\ * &quot;-&quot;??_-;_-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65" formatCode="_-[$$-240A]\ * #,##0.00_-;\-[$$-240A]\ * #,##0.00_-;_-[$$-240A]\ * &quot;-&quot;??_-;_-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64" formatCode="[$-F400]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69" formatCode="ddd"/>
      <fill>
        <patternFill patternType="solid">
          <fgColor rgb="FF7F7F7F"/>
          <bgColor theme="4" tint="0.79998168889431442"/>
        </patternFill>
      </fill>
      <alignment horizontal="left" vertical="center" textRotation="0" wrapText="0" indent="0" justifyLastLine="0" shrinkToFit="0" readingOrder="2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rgb="FF7F7F7F"/>
          <bgColor theme="4" tint="0.79998168889431442"/>
        </patternFill>
      </fill>
      <alignment horizontal="general" vertical="center" textRotation="0" wrapText="0" indent="0" justifyLastLine="0" shrinkToFit="0" readingOrder="2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1" formatCode="d\-mmm"/>
      <fill>
        <patternFill patternType="solid">
          <fgColor rgb="FF7F7F7F"/>
          <bgColor theme="4" tint="0.79998168889431442"/>
        </patternFill>
      </fill>
      <alignment horizontal="general" vertical="center" textRotation="0" wrapText="0" indent="0" justifyLastLine="0" shrinkToFit="0" readingOrder="2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6" formatCode="_-[$$-240A]\ * #,##0_-;\-[$$-240A]\ * #,##0_-;_-[$$-240A]\ * &quot;-&quot;??_-;_-@"/>
      <fill>
        <patternFill patternType="solid">
          <fgColor indexed="64"/>
          <bgColor theme="2" tint="-0.499984740745262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numFmt numFmtId="1" formatCode="0"/>
    </dxf>
    <dxf>
      <numFmt numFmtId="25" formatCode="h:mm"/>
    </dxf>
    <dxf>
      <numFmt numFmtId="13" formatCode="0%"/>
    </dxf>
    <dxf>
      <numFmt numFmtId="13" formatCode="0%"/>
    </dxf>
    <dxf>
      <numFmt numFmtId="167" formatCode="0.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" formatCode="0"/>
    </dxf>
    <dxf>
      <font>
        <color theme="0"/>
      </font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>
          <bgColor theme="1" tint="0.14996795556505021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</dxfs>
  <tableStyles count="1" defaultTableStyle="TableStyleMedium2" defaultPivotStyle="PivotStyleLight16">
    <tableStyle name="formato2" pivot="0" table="0" count="10" xr9:uid="{C2A41350-2CBD-407A-B789-B6BC1D31E19C}">
      <tableStyleElement type="wholeTable" dxfId="440"/>
      <tableStyleElement type="headerRow" dxfId="439"/>
    </tableStyle>
  </tableStyles>
  <colors>
    <mruColors>
      <color rgb="FF00FF00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14"/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 tint="4.9989318521683403E-2"/>
          </font>
          <fill>
            <patternFill patternType="solid">
              <fgColor theme="4" tint="0.79992065187536243"/>
              <bgColor theme="0" tint="-0.2499465926084170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sz val="14"/>
            <color theme="3"/>
          </font>
          <fill>
            <patternFill patternType="darkGray">
              <fgColor theme="4" tint="0.59999389629810485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1"/>
          </font>
          <fill>
            <patternFill patternType="solid">
              <fgColor rgb="FFFFFFFF"/>
              <bgColor theme="0" tint="-0.14996795556505021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theme="1"/>
          </font>
          <fill>
            <patternFill patternType="solid">
              <fgColor rgb="FFFFFFFF"/>
              <bgColor theme="0" tint="-0.149967955565050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formato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Bitácora Micro Russell V 1.1.xlsm]Tablas dinamicas!1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Resultado por día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6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dinamicas'!$I$3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dinamicas'!$H$4:$H$5</c:f>
              <c:strCache>
                <c:ptCount val="1"/>
                <c:pt idx="0">
                  <c:v>8-Sep</c:v>
                </c:pt>
              </c:strCache>
            </c:strRef>
          </c:cat>
          <c:val>
            <c:numRef>
              <c:f>'Tablas dinamicas'!$I$4:$I$5</c:f>
              <c:numCache>
                <c:formatCode>General</c:formatCode>
                <c:ptCount val="1"/>
                <c:pt idx="0">
                  <c:v>76.999999999999773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D0-403F-B3FD-9DB198484FF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69598408"/>
        <c:axId val="469599392"/>
      </c:barChart>
      <c:catAx>
        <c:axId val="469598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69599392"/>
        <c:crosses val="autoZero"/>
        <c:auto val="1"/>
        <c:lblAlgn val="ctr"/>
        <c:lblOffset val="100"/>
        <c:noMultiLvlLbl val="0"/>
      </c:catAx>
      <c:valAx>
        <c:axId val="4695993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69598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Bitácora Micro Russell V 1.1.xlsm]Tablas dinamicas!2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AB</a:t>
            </a:r>
            <a:r>
              <a:rPr lang="en-US" baseline="0"/>
              <a:t> Vs PF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'Tablas dinamicas'!$J$49</c:f>
              <c:strCache>
                <c:ptCount val="1"/>
                <c:pt idx="0">
                  <c:v>Suma de AB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dinamicas'!$H$50:$H$51</c:f>
              <c:strCache>
                <c:ptCount val="1"/>
                <c:pt idx="0">
                  <c:v>8-Sep</c:v>
                </c:pt>
              </c:strCache>
            </c:strRef>
          </c:cat>
          <c:val>
            <c:numRef>
              <c:f>'Tablas dinamicas'!$J$50:$J$51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90-4328-A68A-D8E09DF3F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473786920"/>
        <c:axId val="473784296"/>
      </c:barChart>
      <c:barChart>
        <c:barDir val="col"/>
        <c:grouping val="clustered"/>
        <c:varyColors val="0"/>
        <c:ser>
          <c:idx val="0"/>
          <c:order val="0"/>
          <c:tx>
            <c:strRef>
              <c:f>'Tablas dinamicas'!$I$49</c:f>
              <c:strCache>
                <c:ptCount val="1"/>
                <c:pt idx="0">
                  <c:v>Suma de PF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dinamicas'!$H$50:$H$51</c:f>
              <c:strCache>
                <c:ptCount val="1"/>
                <c:pt idx="0">
                  <c:v>8-Sep</c:v>
                </c:pt>
              </c:strCache>
            </c:strRef>
          </c:cat>
          <c:val>
            <c:numRef>
              <c:f>'Tablas dinamicas'!$I$50:$I$51</c:f>
              <c:numCache>
                <c:formatCode>0.0</c:formatCode>
                <c:ptCount val="1"/>
                <c:pt idx="0">
                  <c:v>15.799999999999955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90-4328-A68A-D8E09DF3F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672809936"/>
        <c:axId val="672809280"/>
      </c:barChart>
      <c:catAx>
        <c:axId val="473786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73784296"/>
        <c:crosses val="autoZero"/>
        <c:auto val="1"/>
        <c:lblAlgn val="ctr"/>
        <c:lblOffset val="100"/>
        <c:noMultiLvlLbl val="0"/>
      </c:catAx>
      <c:valAx>
        <c:axId val="473784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73786920"/>
        <c:crosses val="autoZero"/>
        <c:crossBetween val="between"/>
      </c:valAx>
      <c:valAx>
        <c:axId val="672809280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72809936"/>
        <c:crosses val="max"/>
        <c:crossBetween val="between"/>
      </c:valAx>
      <c:catAx>
        <c:axId val="6728099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728092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Bitácora Micro Russell V 1.1.xlsm]Tablas dinamicas!3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Positivo Vs Negativo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'Tablas dinamicas'!$I$82</c:f>
              <c:strCache>
                <c:ptCount val="1"/>
                <c:pt idx="0">
                  <c:v>Suma de Total Positivo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dinamicas'!$H$83:$H$84</c:f>
              <c:strCache>
                <c:ptCount val="1"/>
                <c:pt idx="0">
                  <c:v>Tuesday</c:v>
                </c:pt>
              </c:strCache>
            </c:strRef>
          </c:cat>
          <c:val>
            <c:numRef>
              <c:f>'Tablas dinamicas'!$I$83:$I$84</c:f>
              <c:numCache>
                <c:formatCode>General</c:formatCode>
                <c:ptCount val="1"/>
                <c:pt idx="0">
                  <c:v>15.799999999999955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9C-485D-8B3F-28C7B28CE207}"/>
            </c:ext>
          </c:extLst>
        </c:ser>
        <c:ser>
          <c:idx val="1"/>
          <c:order val="1"/>
          <c:tx>
            <c:strRef>
              <c:f>'Tablas dinamicas'!$J$82</c:f>
              <c:strCache>
                <c:ptCount val="1"/>
                <c:pt idx="0">
                  <c:v>Suma de Total Negativo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dinamicas'!$H$83:$H$84</c:f>
              <c:strCache>
                <c:ptCount val="1"/>
                <c:pt idx="0">
                  <c:v>Tuesday</c:v>
                </c:pt>
              </c:strCache>
            </c:strRef>
          </c:cat>
          <c:val>
            <c:numRef>
              <c:f>'Tablas dinamicas'!$J$83:$J$84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9C-485D-8B3F-28C7B28CE20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73777080"/>
        <c:axId val="473777408"/>
        <c:axId val="0"/>
      </c:bar3DChart>
      <c:catAx>
        <c:axId val="4737770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73777408"/>
        <c:crosses val="autoZero"/>
        <c:auto val="1"/>
        <c:lblAlgn val="ctr"/>
        <c:lblOffset val="100"/>
        <c:noMultiLvlLbl val="0"/>
      </c:catAx>
      <c:valAx>
        <c:axId val="47377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73777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Bitácora Micro Russell V 1.1.xlsm]Tablas dinamicas!4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Seguimiento</a:t>
            </a:r>
            <a:r>
              <a:rPr lang="en-US" baseline="0"/>
              <a:t> Semanal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>
                  <a:lumMod val="85000"/>
                </a:schemeClr>
              </a:solidFill>
              <a:latin typeface="+mj-lt"/>
              <a:ea typeface="+mj-ea"/>
              <a:cs typeface="+mj-cs"/>
            </a:defRPr>
          </a:pPr>
          <a:endParaRPr lang="es-CO"/>
        </a:p>
      </c:txPr>
    </c:title>
    <c:autoTitleDeleted val="0"/>
    <c:pivotFmts>
      <c:pivotFmt>
        <c:idx val="0"/>
        <c:spPr>
          <a:gradFill>
            <a:gsLst>
              <a:gs pos="100000">
                <a:schemeClr val="accent1"/>
              </a:gs>
              <a:gs pos="0">
                <a:schemeClr val="accent1">
                  <a:lumMod val="75000"/>
                </a:schemeClr>
              </a:gs>
            </a:gsLst>
            <a:lin ang="0" scaled="1"/>
          </a:gradFill>
          <a:ln>
            <a:noFill/>
          </a:ln>
          <a:effectLst>
            <a:innerShdw dist="12700" dir="16200000">
              <a:schemeClr val="lt1">
                <a:alpha val="75000"/>
              </a:schemeClr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100000">
                <a:schemeClr val="accent1"/>
              </a:gs>
              <a:gs pos="0">
                <a:schemeClr val="accent1">
                  <a:lumMod val="75000"/>
                </a:schemeClr>
              </a:gs>
            </a:gsLst>
            <a:lin ang="0" scaled="1"/>
          </a:gradFill>
          <a:ln>
            <a:noFill/>
          </a:ln>
          <a:effectLst>
            <a:innerShdw dist="12700" dir="16200000">
              <a:schemeClr val="lt1">
                <a:alpha val="75000"/>
              </a:schemeClr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'Tablas dinamicas'!$Q$2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100000">
                  <a:schemeClr val="accent1"/>
                </a:gs>
                <a:gs pos="0">
                  <a:schemeClr val="accent1">
                    <a:lumMod val="75000"/>
                  </a:schemeClr>
                </a:gs>
              </a:gsLst>
              <a:lin ang="0" scaled="1"/>
            </a:gradFill>
            <a:ln>
              <a:noFill/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cat>
            <c:strRef>
              <c:f>'Tablas dinamicas'!$P$3:$P$8</c:f>
              <c:strCache>
                <c:ptCount val="5"/>
                <c:pt idx="0">
                  <c:v>36</c:v>
                </c:pt>
                <c:pt idx="1">
                  <c:v>37</c:v>
                </c:pt>
                <c:pt idx="2">
                  <c:v>38</c:v>
                </c:pt>
                <c:pt idx="3">
                  <c:v>39</c:v>
                </c:pt>
                <c:pt idx="4">
                  <c:v>40</c:v>
                </c:pt>
              </c:strCache>
            </c:strRef>
          </c:cat>
          <c:val>
            <c:numRef>
              <c:f>'Tablas dinamicas'!$Q$3:$Q$8</c:f>
              <c:numCache>
                <c:formatCode>0</c:formatCode>
                <c:ptCount val="5"/>
                <c:pt idx="0">
                  <c:v>0</c:v>
                </c:pt>
                <c:pt idx="1">
                  <c:v>70.500000000000455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35-4994-9106-CAB3A39EF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584005120"/>
        <c:axId val="583999872"/>
      </c:areaChart>
      <c:catAx>
        <c:axId val="584005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83999872"/>
        <c:crosses val="autoZero"/>
        <c:auto val="1"/>
        <c:lblAlgn val="ctr"/>
        <c:lblOffset val="100"/>
        <c:noMultiLvlLbl val="0"/>
      </c:catAx>
      <c:valAx>
        <c:axId val="5839998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prstDash val="sysDot"/>
              <a:round/>
            </a:ln>
            <a:effectLst/>
          </c:spPr>
        </c:majorGridlines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84005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Bitácora Micro Russell V 1.1.xlsm]Tablas dinamicas!5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Resultado diario vs</a:t>
            </a:r>
            <a:r>
              <a:rPr lang="en-US" baseline="0"/>
              <a:t> Objetivo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dinamicas'!$Q$50</c:f>
              <c:strCache>
                <c:ptCount val="1"/>
                <c:pt idx="0">
                  <c:v>Suma de Total Cuenta Real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'Tablas dinamicas'!$P$51:$P$52</c:f>
              <c:strCache>
                <c:ptCount val="1"/>
                <c:pt idx="0">
                  <c:v>8-Sep</c:v>
                </c:pt>
              </c:strCache>
            </c:strRef>
          </c:cat>
          <c:val>
            <c:numRef>
              <c:f>'Tablas dinamicas'!$Q$51:$Q$52</c:f>
              <c:numCache>
                <c:formatCode>0</c:formatCode>
                <c:ptCount val="1"/>
                <c:pt idx="0">
                  <c:v>1275.9999999999998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05-43FC-9A64-00243D592F8E}"/>
            </c:ext>
          </c:extLst>
        </c:ser>
        <c:ser>
          <c:idx val="1"/>
          <c:order val="1"/>
          <c:tx>
            <c:strRef>
              <c:f>'Tablas dinamicas'!$R$50</c:f>
              <c:strCache>
                <c:ptCount val="1"/>
                <c:pt idx="0">
                  <c:v>Suma de Cuenta mas Objetivo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'Tablas dinamicas'!$P$51:$P$52</c:f>
              <c:strCache>
                <c:ptCount val="1"/>
                <c:pt idx="0">
                  <c:v>8-Sep</c:v>
                </c:pt>
              </c:strCache>
            </c:strRef>
          </c:cat>
          <c:val>
            <c:numRef>
              <c:f>'Tablas dinamicas'!$R$51:$R$52</c:f>
              <c:numCache>
                <c:formatCode>0</c:formatCode>
                <c:ptCount val="1"/>
                <c:pt idx="0">
                  <c:v>1249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205-43FC-9A64-00243D592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618856"/>
        <c:axId val="585624760"/>
      </c:lineChart>
      <c:catAx>
        <c:axId val="58561885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85624760"/>
        <c:crosses val="autoZero"/>
        <c:auto val="1"/>
        <c:lblAlgn val="ctr"/>
        <c:lblOffset val="100"/>
        <c:noMultiLvlLbl val="0"/>
      </c:catAx>
      <c:valAx>
        <c:axId val="585624760"/>
        <c:scaling>
          <c:orientation val="minMax"/>
          <c:min val="250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85618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Bitácora Micro Russell V 1.1.xlsm]Tablas dinamicas!6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Minutos por Operación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dinamicas'!$Q$123:$Q$124</c:f>
              <c:strCache>
                <c:ptCount val="1"/>
                <c:pt idx="0">
                  <c:v>1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dinamicas'!$P$125:$P$126</c:f>
              <c:strCache>
                <c:ptCount val="1"/>
                <c:pt idx="0">
                  <c:v>Tuesday</c:v>
                </c:pt>
              </c:strCache>
            </c:strRef>
          </c:cat>
          <c:val>
            <c:numRef>
              <c:f>'Tablas dinamicas'!$Q$125:$Q$126</c:f>
              <c:numCache>
                <c:formatCode>h:mm</c:formatCode>
                <c:ptCount val="1"/>
                <c:pt idx="0">
                  <c:v>6.9444444444444441E-3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C-4A5E-83EE-F7D1A89F4535}"/>
            </c:ext>
          </c:extLst>
        </c:ser>
        <c:ser>
          <c:idx val="1"/>
          <c:order val="1"/>
          <c:tx>
            <c:strRef>
              <c:f>'Tablas dinamicas'!$R$123:$R$124</c:f>
              <c:strCache>
                <c:ptCount val="1"/>
                <c:pt idx="0">
                  <c:v>2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dinamicas'!$P$125:$P$126</c:f>
              <c:strCache>
                <c:ptCount val="1"/>
                <c:pt idx="0">
                  <c:v>Tuesday</c:v>
                </c:pt>
              </c:strCache>
            </c:strRef>
          </c:cat>
          <c:val>
            <c:numRef>
              <c:f>'Tablas dinamicas'!$R$125:$R$126</c:f>
              <c:numCache>
                <c:formatCode>h:mm</c:formatCode>
                <c:ptCount val="1"/>
                <c:pt idx="0">
                  <c:v>0.17222222222222225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A9-4B46-AB59-7E4843B97D08}"/>
            </c:ext>
          </c:extLst>
        </c:ser>
        <c:ser>
          <c:idx val="2"/>
          <c:order val="2"/>
          <c:tx>
            <c:strRef>
              <c:f>'Tablas dinamicas'!$S$123:$S$124</c:f>
              <c:strCache>
                <c:ptCount val="1"/>
                <c:pt idx="0">
                  <c:v>3</c:v>
                </c:pt>
              </c:strCache>
            </c:strRef>
          </c:tx>
          <c:spPr>
            <a:noFill/>
            <a:ln w="9525" cap="flat" cmpd="sng" algn="ctr">
              <a:solidFill>
                <a:schemeClr val="accent3"/>
              </a:solidFill>
              <a:miter lim="800000"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dinamicas'!$P$125:$P$126</c:f>
              <c:strCache>
                <c:ptCount val="1"/>
                <c:pt idx="0">
                  <c:v>Tuesday</c:v>
                </c:pt>
              </c:strCache>
            </c:strRef>
          </c:cat>
          <c:val>
            <c:numRef>
              <c:f>'Tablas dinamicas'!$S$125:$S$126</c:f>
              <c:numCache>
                <c:formatCode>h:mm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A9-4B46-AB59-7E4843B97D08}"/>
            </c:ext>
          </c:extLst>
        </c:ser>
        <c:ser>
          <c:idx val="3"/>
          <c:order val="3"/>
          <c:tx>
            <c:strRef>
              <c:f>'Tablas dinamicas'!$T$123:$T$124</c:f>
              <c:strCache>
                <c:ptCount val="1"/>
                <c:pt idx="0">
                  <c:v>4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dinamicas'!$P$125:$P$126</c:f>
              <c:strCache>
                <c:ptCount val="1"/>
                <c:pt idx="0">
                  <c:v>Tuesday</c:v>
                </c:pt>
              </c:strCache>
            </c:strRef>
          </c:cat>
          <c:val>
            <c:numRef>
              <c:f>'Tablas dinamicas'!$T$125:$T$126</c:f>
              <c:numCache>
                <c:formatCode>h:mm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A9-4B46-AB59-7E4843B97D08}"/>
            </c:ext>
          </c:extLst>
        </c:ser>
        <c:ser>
          <c:idx val="4"/>
          <c:order val="4"/>
          <c:tx>
            <c:strRef>
              <c:f>'Tablas dinamicas'!$U$123:$U$124</c:f>
              <c:strCache>
                <c:ptCount val="1"/>
                <c:pt idx="0">
                  <c:v>5</c:v>
                </c:pt>
              </c:strCache>
            </c:strRef>
          </c:tx>
          <c:spPr>
            <a:noFill/>
            <a:ln w="9525" cap="flat" cmpd="sng" algn="ctr">
              <a:solidFill>
                <a:schemeClr val="accent5"/>
              </a:solidFill>
              <a:miter lim="800000"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dinamicas'!$P$125:$P$126</c:f>
              <c:strCache>
                <c:ptCount val="1"/>
                <c:pt idx="0">
                  <c:v>Tuesday</c:v>
                </c:pt>
              </c:strCache>
            </c:strRef>
          </c:cat>
          <c:val>
            <c:numRef>
              <c:f>'Tablas dinamicas'!$U$125:$U$126</c:f>
              <c:numCache>
                <c:formatCode>h:mm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A9-4B46-AB59-7E4843B97D0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583960512"/>
        <c:axId val="583965432"/>
      </c:barChart>
      <c:catAx>
        <c:axId val="58396051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83965432"/>
        <c:crosses val="autoZero"/>
        <c:auto val="1"/>
        <c:lblAlgn val="ctr"/>
        <c:lblOffset val="100"/>
        <c:noMultiLvlLbl val="0"/>
      </c:catAx>
      <c:valAx>
        <c:axId val="58396543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h:mm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8396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Bitácora Micro Russell V 1.1.xlsm]Tablas dinamicas!7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BUY vs SELL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layout>
            <c:manualLayout>
              <c:x val="-6.9926617429273641E-2"/>
              <c:y val="4.696981800859806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layout>
            <c:manualLayout>
              <c:x val="-8.7408271786592037E-2"/>
              <c:y val="-1.076379228272343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layout>
            <c:manualLayout>
              <c:x val="-7.9250166419843449E-2"/>
              <c:y val="4.696981800859806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layout>
            <c:manualLayout>
              <c:x val="-9.5566377153340626E-2"/>
              <c:y val="1.409168508475278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1"/>
    </c:view3D>
    <c:floor>
      <c:thickness val="0"/>
      <c:spPr>
        <a:noFill/>
        <a:ln w="25400">
          <a:noFill/>
        </a:ln>
        <a:effectLst/>
        <a:sp3d/>
      </c:spPr>
    </c:floor>
    <c:sideWall>
      <c:thickness val="0"/>
      <c:spPr>
        <a:noFill/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  <a:sp3d/>
      </c:spPr>
    </c:sideWall>
    <c:backWall>
      <c:thickness val="0"/>
      <c:spPr>
        <a:noFill/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'Tablas dinamicas'!$Q$168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dinamicas'!$P$169:$P$170</c:f>
              <c:strCache>
                <c:ptCount val="1"/>
                <c:pt idx="0">
                  <c:v>SELL</c:v>
                </c:pt>
              </c:strCache>
            </c:strRef>
          </c:cat>
          <c:val>
            <c:numRef>
              <c:f>'Tablas dinamicas'!$Q$169:$Q$170</c:f>
              <c:numCache>
                <c:formatCode>General</c:formatCode>
                <c:ptCount val="1"/>
                <c:pt idx="0">
                  <c:v>76.999999999999773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BA-459F-8BF2-06C3EF66FBB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5"/>
        <c:shape val="box"/>
        <c:axId val="583957888"/>
        <c:axId val="583959856"/>
        <c:axId val="0"/>
      </c:bar3DChart>
      <c:catAx>
        <c:axId val="5839578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83959856"/>
        <c:crosses val="autoZero"/>
        <c:auto val="1"/>
        <c:lblAlgn val="ctr"/>
        <c:lblOffset val="100"/>
        <c:noMultiLvlLbl val="0"/>
      </c:catAx>
      <c:valAx>
        <c:axId val="583959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83957888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Bitácora Micro Russell V 1.1.xlsm]Tablas dinamicas!TablaDinámica1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Estrategias</a:t>
            </a:r>
            <a:r>
              <a:rPr lang="en-US" baseline="0"/>
              <a:t> positivas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4472C4">
                <a:alpha val="30000"/>
              </a:srgbClr>
            </a:solidFill>
            <a:ln>
              <a:solidFill>
                <a:srgbClr val="FFFFFF">
                  <a:alpha val="50000"/>
                </a:srgb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</c:pivotFmt>
      <c:pivotFmt>
        <c:idx val="2"/>
        <c:spPr>
          <a:solidFill>
            <a:schemeClr val="accent3">
              <a:lumMod val="40000"/>
              <a:lumOff val="60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</c:pivotFmt>
      <c:pivotFmt>
        <c:idx val="4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A5A5A5">
                <a:alpha val="30000"/>
              </a:srgbClr>
            </a:solidFill>
            <a:ln>
              <a:solidFill>
                <a:srgbClr val="FFFFFF">
                  <a:alpha val="50000"/>
                </a:srgb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'Tablas dinamicas'!$I$130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76DC-4DA2-8A0C-29E5DC2A02F6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7BF-489B-A651-8AC54F501E8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B7BF-489B-A651-8AC54F501E81}"/>
              </c:ext>
            </c:extLst>
          </c:dPt>
          <c:dLbls>
            <c:spPr>
              <a:solidFill>
                <a:srgbClr val="A5A5A5">
                  <a:alpha val="30000"/>
                </a:srgbClr>
              </a:solidFill>
              <a:ln>
                <a:solidFill>
                  <a:srgbClr val="FFFFFF">
                    <a:alpha val="50000"/>
                  </a:srgb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dinamicas'!$H$131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'Tablas dinamicas'!$I$131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B7BF-489B-A651-8AC54F501E8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577641416"/>
        <c:axId val="577633216"/>
        <c:axId val="0"/>
      </c:bar3DChart>
      <c:catAx>
        <c:axId val="577641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77633216"/>
        <c:crosses val="autoZero"/>
        <c:auto val="1"/>
        <c:lblAlgn val="ctr"/>
        <c:lblOffset val="100"/>
        <c:noMultiLvlLbl val="0"/>
      </c:catAx>
      <c:valAx>
        <c:axId val="57763321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77641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Bitácora Micro Russell V 1.1.xlsm]Tablas dinamicas!1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Resultado por día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6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</c:pivotFmt>
      <c:pivotFmt>
        <c:idx val="10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dinamicas'!$I$3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C382-495F-8D29-22F4520D6A30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5ADC-461E-BDD3-77D1558D29A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dinamicas'!$H$4:$H$5</c:f>
              <c:strCache>
                <c:ptCount val="1"/>
                <c:pt idx="0">
                  <c:v>8-Sep</c:v>
                </c:pt>
              </c:strCache>
            </c:strRef>
          </c:cat>
          <c:val>
            <c:numRef>
              <c:f>'Tablas dinamicas'!$I$4:$I$5</c:f>
              <c:numCache>
                <c:formatCode>General</c:formatCode>
                <c:ptCount val="1"/>
                <c:pt idx="0">
                  <c:v>76.999999999999773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82-495F-8D29-22F4520D6A3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69598408"/>
        <c:axId val="469599392"/>
      </c:barChart>
      <c:catAx>
        <c:axId val="469598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69599392"/>
        <c:crosses val="autoZero"/>
        <c:auto val="1"/>
        <c:lblAlgn val="ctr"/>
        <c:lblOffset val="100"/>
        <c:noMultiLvlLbl val="0"/>
      </c:catAx>
      <c:valAx>
        <c:axId val="4695993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69598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Bitácora Micro Russell V 1.1.xlsm]Tablas dinamicas!2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AB</a:t>
            </a:r>
            <a:r>
              <a:rPr lang="en-US" baseline="0"/>
              <a:t> Vs PF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'Tablas dinamicas'!$J$49</c:f>
              <c:strCache>
                <c:ptCount val="1"/>
                <c:pt idx="0">
                  <c:v>Suma de AB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dinamicas'!$H$50:$H$51</c:f>
              <c:strCache>
                <c:ptCount val="1"/>
                <c:pt idx="0">
                  <c:v>8-Sep</c:v>
                </c:pt>
              </c:strCache>
            </c:strRef>
          </c:cat>
          <c:val>
            <c:numRef>
              <c:f>'Tablas dinamicas'!$J$50:$J$51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37-46F9-A5F2-6E949C7D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473786920"/>
        <c:axId val="473784296"/>
      </c:barChart>
      <c:barChart>
        <c:barDir val="col"/>
        <c:grouping val="clustered"/>
        <c:varyColors val="0"/>
        <c:ser>
          <c:idx val="0"/>
          <c:order val="0"/>
          <c:tx>
            <c:strRef>
              <c:f>'Tablas dinamicas'!$I$49</c:f>
              <c:strCache>
                <c:ptCount val="1"/>
                <c:pt idx="0">
                  <c:v>Suma de PF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dinamicas'!$H$50:$H$51</c:f>
              <c:strCache>
                <c:ptCount val="1"/>
                <c:pt idx="0">
                  <c:v>8-Sep</c:v>
                </c:pt>
              </c:strCache>
            </c:strRef>
          </c:cat>
          <c:val>
            <c:numRef>
              <c:f>'Tablas dinamicas'!$I$50:$I$51</c:f>
              <c:numCache>
                <c:formatCode>0.0</c:formatCode>
                <c:ptCount val="1"/>
                <c:pt idx="0">
                  <c:v>15.799999999999955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37-46F9-A5F2-6E949C7D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672809936"/>
        <c:axId val="672809280"/>
      </c:barChart>
      <c:catAx>
        <c:axId val="473786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73784296"/>
        <c:crosses val="autoZero"/>
        <c:auto val="1"/>
        <c:lblAlgn val="ctr"/>
        <c:lblOffset val="100"/>
        <c:noMultiLvlLbl val="0"/>
      </c:catAx>
      <c:valAx>
        <c:axId val="473784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73786920"/>
        <c:crosses val="autoZero"/>
        <c:crossBetween val="between"/>
      </c:valAx>
      <c:valAx>
        <c:axId val="672809280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72809936"/>
        <c:crosses val="max"/>
        <c:crossBetween val="between"/>
      </c:valAx>
      <c:catAx>
        <c:axId val="6728099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728092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Bitácora Micro Russell V 1.1.xlsm]Tablas dinamicas!3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Positivo Vs Negativo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'Tablas dinamicas'!$I$82</c:f>
              <c:strCache>
                <c:ptCount val="1"/>
                <c:pt idx="0">
                  <c:v>Suma de Total Positivo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dinamicas'!$H$83:$H$84</c:f>
              <c:strCache>
                <c:ptCount val="1"/>
                <c:pt idx="0">
                  <c:v>Tuesday</c:v>
                </c:pt>
              </c:strCache>
            </c:strRef>
          </c:cat>
          <c:val>
            <c:numRef>
              <c:f>'Tablas dinamicas'!$I$83:$I$84</c:f>
              <c:numCache>
                <c:formatCode>General</c:formatCode>
                <c:ptCount val="1"/>
                <c:pt idx="0">
                  <c:v>15.799999999999955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F2-4EDE-A50D-EBBABC34DD30}"/>
            </c:ext>
          </c:extLst>
        </c:ser>
        <c:ser>
          <c:idx val="1"/>
          <c:order val="1"/>
          <c:tx>
            <c:strRef>
              <c:f>'Tablas dinamicas'!$J$82</c:f>
              <c:strCache>
                <c:ptCount val="1"/>
                <c:pt idx="0">
                  <c:v>Suma de Total Negativo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dinamicas'!$H$83:$H$84</c:f>
              <c:strCache>
                <c:ptCount val="1"/>
                <c:pt idx="0">
                  <c:v>Tuesday</c:v>
                </c:pt>
              </c:strCache>
            </c:strRef>
          </c:cat>
          <c:val>
            <c:numRef>
              <c:f>'Tablas dinamicas'!$J$83:$J$84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F2-4EDE-A50D-EBBABC34DD3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73777080"/>
        <c:axId val="473777408"/>
        <c:axId val="0"/>
      </c:bar3DChart>
      <c:catAx>
        <c:axId val="4737770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73777408"/>
        <c:crosses val="autoZero"/>
        <c:auto val="1"/>
        <c:lblAlgn val="ctr"/>
        <c:lblOffset val="100"/>
        <c:noMultiLvlLbl val="0"/>
      </c:catAx>
      <c:valAx>
        <c:axId val="47377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73777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Bitácora Micro Russell V 1.1.xlsm]Tablas dinamicas!4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Seguimiento</a:t>
            </a:r>
            <a:r>
              <a:rPr lang="en-US" baseline="0"/>
              <a:t> Semanal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>
                  <a:lumMod val="85000"/>
                </a:schemeClr>
              </a:solidFill>
              <a:latin typeface="+mj-lt"/>
              <a:ea typeface="+mj-ea"/>
              <a:cs typeface="+mj-cs"/>
            </a:defRPr>
          </a:pPr>
          <a:endParaRPr lang="es-CO"/>
        </a:p>
      </c:txPr>
    </c:title>
    <c:autoTitleDeleted val="0"/>
    <c:pivotFmts>
      <c:pivotFmt>
        <c:idx val="0"/>
        <c:spPr>
          <a:gradFill>
            <a:gsLst>
              <a:gs pos="100000">
                <a:schemeClr val="accent1"/>
              </a:gs>
              <a:gs pos="0">
                <a:schemeClr val="accent1">
                  <a:lumMod val="75000"/>
                </a:schemeClr>
              </a:gs>
            </a:gsLst>
            <a:lin ang="0" scaled="1"/>
          </a:gradFill>
          <a:ln>
            <a:noFill/>
          </a:ln>
          <a:effectLst>
            <a:innerShdw dist="12700" dir="16200000">
              <a:schemeClr val="lt1">
                <a:alpha val="75000"/>
              </a:schemeClr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100000">
                <a:schemeClr val="accent1"/>
              </a:gs>
              <a:gs pos="0">
                <a:schemeClr val="accent1">
                  <a:lumMod val="75000"/>
                </a:schemeClr>
              </a:gs>
            </a:gsLst>
            <a:lin ang="0" scaled="1"/>
          </a:gradFill>
          <a:ln>
            <a:noFill/>
          </a:ln>
          <a:effectLst>
            <a:innerShdw dist="12700" dir="16200000">
              <a:schemeClr val="lt1">
                <a:alpha val="75000"/>
              </a:schemeClr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100000">
                <a:schemeClr val="accent1"/>
              </a:gs>
              <a:gs pos="0">
                <a:schemeClr val="accent1">
                  <a:lumMod val="75000"/>
                </a:schemeClr>
              </a:gs>
            </a:gsLst>
            <a:lin ang="0" scaled="1"/>
          </a:gradFill>
          <a:ln>
            <a:noFill/>
          </a:ln>
          <a:effectLst>
            <a:innerShdw dist="12700" dir="16200000">
              <a:schemeClr val="lt1">
                <a:alpha val="75000"/>
              </a:schemeClr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100000">
                <a:schemeClr val="accent1"/>
              </a:gs>
              <a:gs pos="0">
                <a:schemeClr val="accent1">
                  <a:lumMod val="75000"/>
                </a:schemeClr>
              </a:gs>
            </a:gsLst>
            <a:lin ang="0" scaled="1"/>
          </a:gradFill>
          <a:ln>
            <a:noFill/>
          </a:ln>
          <a:effectLst>
            <a:innerShdw dist="12700" dir="16200000">
              <a:schemeClr val="lt1">
                <a:alpha val="75000"/>
              </a:schemeClr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100000">
                <a:schemeClr val="accent1"/>
              </a:gs>
              <a:gs pos="0">
                <a:schemeClr val="accent1">
                  <a:lumMod val="75000"/>
                </a:schemeClr>
              </a:gs>
            </a:gsLst>
            <a:lin ang="0" scaled="1"/>
          </a:gradFill>
          <a:ln>
            <a:noFill/>
          </a:ln>
          <a:effectLst>
            <a:innerShdw dist="12700" dir="16200000">
              <a:schemeClr val="lt1">
                <a:alpha val="75000"/>
              </a:schemeClr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>
            <a:gsLst>
              <a:gs pos="100000">
                <a:schemeClr val="accent1"/>
              </a:gs>
              <a:gs pos="0">
                <a:schemeClr val="accent1">
                  <a:lumMod val="75000"/>
                </a:schemeClr>
              </a:gs>
            </a:gsLst>
            <a:lin ang="0" scaled="1"/>
          </a:gradFill>
          <a:ln>
            <a:noFill/>
          </a:ln>
          <a:effectLst>
            <a:innerShdw dist="12700" dir="16200000">
              <a:schemeClr val="lt1">
                <a:alpha val="75000"/>
              </a:schemeClr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'Tablas dinamicas'!$Q$2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100000">
                  <a:schemeClr val="accent1"/>
                </a:gs>
                <a:gs pos="0">
                  <a:schemeClr val="accent1">
                    <a:lumMod val="75000"/>
                  </a:schemeClr>
                </a:gs>
              </a:gsLst>
              <a:lin ang="0" scaled="1"/>
            </a:gradFill>
            <a:ln>
              <a:noFill/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cat>
            <c:strRef>
              <c:f>'Tablas dinamicas'!$P$3:$P$8</c:f>
              <c:strCache>
                <c:ptCount val="5"/>
                <c:pt idx="0">
                  <c:v>36</c:v>
                </c:pt>
                <c:pt idx="1">
                  <c:v>37</c:v>
                </c:pt>
                <c:pt idx="2">
                  <c:v>38</c:v>
                </c:pt>
                <c:pt idx="3">
                  <c:v>39</c:v>
                </c:pt>
                <c:pt idx="4">
                  <c:v>40</c:v>
                </c:pt>
              </c:strCache>
            </c:strRef>
          </c:cat>
          <c:val>
            <c:numRef>
              <c:f>'Tablas dinamicas'!$Q$3:$Q$8</c:f>
              <c:numCache>
                <c:formatCode>0</c:formatCode>
                <c:ptCount val="5"/>
                <c:pt idx="0">
                  <c:v>0</c:v>
                </c:pt>
                <c:pt idx="1">
                  <c:v>70.500000000000455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88-43CF-B11A-BC80AE2DE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584005120"/>
        <c:axId val="583999872"/>
      </c:areaChart>
      <c:catAx>
        <c:axId val="584005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83999872"/>
        <c:crosses val="autoZero"/>
        <c:auto val="1"/>
        <c:lblAlgn val="ctr"/>
        <c:lblOffset val="100"/>
        <c:noMultiLvlLbl val="0"/>
      </c:catAx>
      <c:valAx>
        <c:axId val="5839998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prstDash val="sysDot"/>
              <a:round/>
            </a:ln>
            <a:effectLst/>
          </c:spPr>
        </c:majorGridlines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84005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Bitácora Micro Russell V 1.1.xlsm]Tablas dinamicas!6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Minutos por Operación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dinamicas'!$Q$123:$Q$124</c:f>
              <c:strCache>
                <c:ptCount val="1"/>
                <c:pt idx="0">
                  <c:v>1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dinamicas'!$P$125:$P$126</c:f>
              <c:strCache>
                <c:ptCount val="1"/>
                <c:pt idx="0">
                  <c:v>Tuesday</c:v>
                </c:pt>
              </c:strCache>
            </c:strRef>
          </c:cat>
          <c:val>
            <c:numRef>
              <c:f>'Tablas dinamicas'!$Q$125:$Q$126</c:f>
              <c:numCache>
                <c:formatCode>h:mm</c:formatCode>
                <c:ptCount val="1"/>
                <c:pt idx="0">
                  <c:v>6.9444444444444441E-3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F5-443D-B2C8-8A259DA1B613}"/>
            </c:ext>
          </c:extLst>
        </c:ser>
        <c:ser>
          <c:idx val="1"/>
          <c:order val="1"/>
          <c:tx>
            <c:strRef>
              <c:f>'Tablas dinamicas'!$R$123:$R$124</c:f>
              <c:strCache>
                <c:ptCount val="1"/>
                <c:pt idx="0">
                  <c:v>2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dinamicas'!$P$125:$P$126</c:f>
              <c:strCache>
                <c:ptCount val="1"/>
                <c:pt idx="0">
                  <c:v>Tuesday</c:v>
                </c:pt>
              </c:strCache>
            </c:strRef>
          </c:cat>
          <c:val>
            <c:numRef>
              <c:f>'Tablas dinamicas'!$R$125:$R$126</c:f>
              <c:numCache>
                <c:formatCode>h:mm</c:formatCode>
                <c:ptCount val="1"/>
                <c:pt idx="0">
                  <c:v>0.17222222222222225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A2-4CD1-817C-11D2665B3819}"/>
            </c:ext>
          </c:extLst>
        </c:ser>
        <c:ser>
          <c:idx val="2"/>
          <c:order val="2"/>
          <c:tx>
            <c:strRef>
              <c:f>'Tablas dinamicas'!$S$123:$S$124</c:f>
              <c:strCache>
                <c:ptCount val="1"/>
                <c:pt idx="0">
                  <c:v>3</c:v>
                </c:pt>
              </c:strCache>
            </c:strRef>
          </c:tx>
          <c:spPr>
            <a:noFill/>
            <a:ln w="9525" cap="flat" cmpd="sng" algn="ctr">
              <a:solidFill>
                <a:schemeClr val="accent3"/>
              </a:solidFill>
              <a:miter lim="800000"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dinamicas'!$P$125:$P$126</c:f>
              <c:strCache>
                <c:ptCount val="1"/>
                <c:pt idx="0">
                  <c:v>Tuesday</c:v>
                </c:pt>
              </c:strCache>
            </c:strRef>
          </c:cat>
          <c:val>
            <c:numRef>
              <c:f>'Tablas dinamicas'!$S$125:$S$126</c:f>
              <c:numCache>
                <c:formatCode>h:mm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A2-4CD1-817C-11D2665B3819}"/>
            </c:ext>
          </c:extLst>
        </c:ser>
        <c:ser>
          <c:idx val="3"/>
          <c:order val="3"/>
          <c:tx>
            <c:strRef>
              <c:f>'Tablas dinamicas'!$T$123:$T$124</c:f>
              <c:strCache>
                <c:ptCount val="1"/>
                <c:pt idx="0">
                  <c:v>4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dinamicas'!$P$125:$P$126</c:f>
              <c:strCache>
                <c:ptCount val="1"/>
                <c:pt idx="0">
                  <c:v>Tuesday</c:v>
                </c:pt>
              </c:strCache>
            </c:strRef>
          </c:cat>
          <c:val>
            <c:numRef>
              <c:f>'Tablas dinamicas'!$T$125:$T$126</c:f>
              <c:numCache>
                <c:formatCode>h:mm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A2-4CD1-817C-11D2665B3819}"/>
            </c:ext>
          </c:extLst>
        </c:ser>
        <c:ser>
          <c:idx val="4"/>
          <c:order val="4"/>
          <c:tx>
            <c:strRef>
              <c:f>'Tablas dinamicas'!$U$123:$U$124</c:f>
              <c:strCache>
                <c:ptCount val="1"/>
                <c:pt idx="0">
                  <c:v>5</c:v>
                </c:pt>
              </c:strCache>
            </c:strRef>
          </c:tx>
          <c:spPr>
            <a:noFill/>
            <a:ln w="9525" cap="flat" cmpd="sng" algn="ctr">
              <a:solidFill>
                <a:schemeClr val="accent5"/>
              </a:solidFill>
              <a:miter lim="800000"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dinamicas'!$P$125:$P$126</c:f>
              <c:strCache>
                <c:ptCount val="1"/>
                <c:pt idx="0">
                  <c:v>Tuesday</c:v>
                </c:pt>
              </c:strCache>
            </c:strRef>
          </c:cat>
          <c:val>
            <c:numRef>
              <c:f>'Tablas dinamicas'!$U$125:$U$126</c:f>
              <c:numCache>
                <c:formatCode>h:mm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A2-4CD1-817C-11D2665B381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583960512"/>
        <c:axId val="583965432"/>
      </c:barChart>
      <c:catAx>
        <c:axId val="58396051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83965432"/>
        <c:crosses val="autoZero"/>
        <c:auto val="1"/>
        <c:lblAlgn val="ctr"/>
        <c:lblOffset val="100"/>
        <c:noMultiLvlLbl val="0"/>
      </c:catAx>
      <c:valAx>
        <c:axId val="58396543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h:mm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8396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Bitácora Micro Russell V 1.1.xlsm]Tablas dinamicas!7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BUY vs SELL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layout>
            <c:manualLayout>
              <c:x val="-6.9926617429273641E-2"/>
              <c:y val="4.696981800859806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layout>
            <c:manualLayout>
              <c:x val="-8.7408271786592037E-2"/>
              <c:y val="-1.076379228272343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layout>
            <c:manualLayout>
              <c:x val="-7.9250166419843449E-2"/>
              <c:y val="4.696981800859806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layout>
            <c:manualLayout>
              <c:x val="-9.5566377153340626E-2"/>
              <c:y val="1.409168508475278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1"/>
    </c:view3D>
    <c:floor>
      <c:thickness val="0"/>
      <c:spPr>
        <a:noFill/>
        <a:ln w="25400">
          <a:noFill/>
        </a:ln>
        <a:effectLst/>
        <a:sp3d/>
      </c:spPr>
    </c:floor>
    <c:sideWall>
      <c:thickness val="0"/>
      <c:spPr>
        <a:noFill/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  <a:sp3d/>
      </c:spPr>
    </c:sideWall>
    <c:backWall>
      <c:thickness val="0"/>
      <c:spPr>
        <a:noFill/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'Tablas dinamicas'!$Q$168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dinamicas'!$P$169:$P$170</c:f>
              <c:strCache>
                <c:ptCount val="1"/>
                <c:pt idx="0">
                  <c:v>SELL</c:v>
                </c:pt>
              </c:strCache>
            </c:strRef>
          </c:cat>
          <c:val>
            <c:numRef>
              <c:f>'Tablas dinamicas'!$Q$169:$Q$170</c:f>
              <c:numCache>
                <c:formatCode>General</c:formatCode>
                <c:ptCount val="1"/>
                <c:pt idx="0">
                  <c:v>76.999999999999773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25-4ABD-B85D-3A176BBAFCB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5"/>
        <c:shape val="box"/>
        <c:axId val="583957888"/>
        <c:axId val="583959856"/>
        <c:axId val="0"/>
      </c:bar3DChart>
      <c:catAx>
        <c:axId val="5839578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83959856"/>
        <c:crosses val="autoZero"/>
        <c:auto val="1"/>
        <c:lblAlgn val="ctr"/>
        <c:lblOffset val="100"/>
        <c:noMultiLvlLbl val="0"/>
      </c:catAx>
      <c:valAx>
        <c:axId val="583959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83957888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Bitácora Micro Russell V 1.1.xlsm]Tablas dinamicas!5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Acumulado Cuenta</a:t>
            </a:r>
          </a:p>
          <a:p>
            <a:pPr>
              <a:defRPr/>
            </a:pPr>
            <a:r>
              <a:rPr lang="en-US"/>
              <a:t>Real vs Objetivo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layout>
            <c:manualLayout>
              <c:x val="-0.11801505003672338"/>
              <c:y val="-6.2232053409270243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6.2311319116713025E-2"/>
                  <c:h val="2.8061315683698122E-2"/>
                </c:manualLayout>
              </c15:layout>
            </c:ext>
          </c:extLst>
        </c:dLbl>
      </c:pivotFmt>
      <c:pivotFmt>
        <c:idx val="28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layout>
            <c:manualLayout>
              <c:x val="2.9087427696832084E-3"/>
              <c:y val="2.346275566002890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6.2311319116713025E-2"/>
                  <c:h val="2.8061315683698122E-2"/>
                </c:manualLayout>
              </c15:layout>
            </c:ext>
          </c:extLst>
        </c:dLbl>
      </c:pivotFmt>
      <c:pivotFmt>
        <c:idx val="29"/>
        <c:spPr>
          <a:noFill/>
          <a:ln w="22225" cap="rnd" cmpd="sng" algn="ctr">
            <a:solidFill>
              <a:schemeClr val="accent2"/>
            </a:solidFill>
            <a:miter lim="800000"/>
          </a:ln>
          <a:effectLst>
            <a:glow rad="139700">
              <a:schemeClr val="accent2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layout>
            <c:manualLayout>
              <c:x val="7.966743996657373E-3"/>
              <c:y val="-2.38847565546009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noFill/>
          <a:ln w="22225" cap="rnd" cmpd="sng" algn="ctr">
            <a:solidFill>
              <a:schemeClr val="accent2"/>
            </a:solidFill>
            <a:miter lim="800000"/>
          </a:ln>
          <a:effectLst>
            <a:glow rad="139700">
              <a:schemeClr val="accent2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layout>
            <c:manualLayout>
              <c:x val="-3.4712241699721411E-2"/>
              <c:y val="7.150315441983565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32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33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34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35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36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37"/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38"/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39"/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40"/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41"/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42"/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43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44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45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46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47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48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49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50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51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52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53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54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</c:marker>
      </c:pivotFmt>
      <c:pivotFmt>
        <c:idx val="55"/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56"/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dinamicas'!$Q$50</c:f>
              <c:strCache>
                <c:ptCount val="1"/>
                <c:pt idx="0">
                  <c:v>Suma de Total Cuenta Real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Pt>
            <c:idx val="0"/>
            <c:marker>
              <c:symbol val="circle"/>
              <c:size val="4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spPr>
              <a:ln w="22225" cap="rnd">
                <a:solidFill>
                  <a:schemeClr val="accent1"/>
                </a:solidFill>
              </a:ln>
              <a:effectLst>
                <a:glow rad="139700">
                  <a:schemeClr val="accent1">
                    <a:satMod val="175000"/>
                    <a:alpha val="14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0-3568-4835-9C92-2D8096C18E83}"/>
              </c:ext>
            </c:extLst>
          </c:dPt>
          <c:dPt>
            <c:idx val="1"/>
            <c:marker>
              <c:symbol val="circle"/>
              <c:size val="4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3568-4835-9C92-2D8096C18E83}"/>
              </c:ext>
            </c:extLst>
          </c:dPt>
          <c:dPt>
            <c:idx val="2"/>
            <c:marker>
              <c:symbol val="circle"/>
              <c:size val="4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55F8-49CE-BB98-D94449BA9F9A}"/>
              </c:ext>
            </c:extLst>
          </c:dPt>
          <c:dPt>
            <c:idx val="3"/>
            <c:marker>
              <c:symbol val="circle"/>
              <c:size val="4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55F8-49CE-BB98-D94449BA9F9A}"/>
              </c:ext>
            </c:extLst>
          </c:dPt>
          <c:dPt>
            <c:idx val="4"/>
            <c:marker>
              <c:symbol val="circle"/>
              <c:size val="4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6F7D-4E07-9BE2-F2202BF1F6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dinamicas'!$P$51:$P$52</c:f>
              <c:strCache>
                <c:ptCount val="1"/>
                <c:pt idx="0">
                  <c:v>8-Sep</c:v>
                </c:pt>
              </c:strCache>
            </c:strRef>
          </c:cat>
          <c:val>
            <c:numRef>
              <c:f>'Tablas dinamicas'!$Q$51:$Q$52</c:f>
              <c:numCache>
                <c:formatCode>0</c:formatCode>
                <c:ptCount val="1"/>
                <c:pt idx="0">
                  <c:v>1275.9999999999998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78-4E5A-AAD4-DAED9A3ADD2E}"/>
            </c:ext>
          </c:extLst>
        </c:ser>
        <c:ser>
          <c:idx val="1"/>
          <c:order val="1"/>
          <c:tx>
            <c:strRef>
              <c:f>'Tablas dinamicas'!$R$50</c:f>
              <c:strCache>
                <c:ptCount val="1"/>
                <c:pt idx="0">
                  <c:v>Suma de Cuenta mas Objetivo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Pt>
            <c:idx val="0"/>
            <c:marker>
              <c:symbol val="circle"/>
              <c:size val="4"/>
              <c:spPr>
                <a:solidFill>
                  <a:schemeClr val="accent2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2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spPr>
              <a:ln w="22225" cap="rnd">
                <a:solidFill>
                  <a:schemeClr val="accent2"/>
                </a:solidFill>
              </a:ln>
              <a:effectLst>
                <a:glow rad="139700">
                  <a:schemeClr val="accent2">
                    <a:satMod val="175000"/>
                    <a:alpha val="14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2-3568-4835-9C92-2D8096C18E83}"/>
              </c:ext>
            </c:extLst>
          </c:dPt>
          <c:dPt>
            <c:idx val="1"/>
            <c:marker>
              <c:symbol val="circle"/>
              <c:size val="4"/>
              <c:spPr>
                <a:solidFill>
                  <a:schemeClr val="accent2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2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568-4835-9C92-2D8096C18E83}"/>
              </c:ext>
            </c:extLst>
          </c:dPt>
          <c:dPt>
            <c:idx val="2"/>
            <c:marker>
              <c:symbol val="circle"/>
              <c:size val="4"/>
              <c:spPr>
                <a:solidFill>
                  <a:schemeClr val="accent2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2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55F8-49CE-BB98-D94449BA9F9A}"/>
              </c:ext>
            </c:extLst>
          </c:dPt>
          <c:dPt>
            <c:idx val="3"/>
            <c:marker>
              <c:symbol val="circle"/>
              <c:size val="4"/>
              <c:spPr>
                <a:solidFill>
                  <a:schemeClr val="accent2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2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55F8-49CE-BB98-D94449BA9F9A}"/>
              </c:ext>
            </c:extLst>
          </c:dPt>
          <c:dPt>
            <c:idx val="4"/>
            <c:marker>
              <c:symbol val="circle"/>
              <c:size val="4"/>
              <c:spPr>
                <a:solidFill>
                  <a:schemeClr val="accent2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2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6F7D-4E07-9BE2-F2202BF1F6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dinamicas'!$P$51:$P$52</c:f>
              <c:strCache>
                <c:ptCount val="1"/>
                <c:pt idx="0">
                  <c:v>8-Sep</c:v>
                </c:pt>
              </c:strCache>
            </c:strRef>
          </c:cat>
          <c:val>
            <c:numRef>
              <c:f>'Tablas dinamicas'!$R$51:$R$52</c:f>
              <c:numCache>
                <c:formatCode>0</c:formatCode>
                <c:ptCount val="1"/>
                <c:pt idx="0">
                  <c:v>1249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78-4E5A-AAD4-DAED9A3ADD2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5618856"/>
        <c:axId val="585624760"/>
      </c:lineChart>
      <c:catAx>
        <c:axId val="58561885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85624760"/>
        <c:crosses val="autoZero"/>
        <c:auto val="1"/>
        <c:lblAlgn val="ctr"/>
        <c:lblOffset val="100"/>
        <c:noMultiLvlLbl val="0"/>
      </c:catAx>
      <c:valAx>
        <c:axId val="58562476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85618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Bitácora Micro Russell V 1.1.xlsm]Tablas dinamicas!TablaDinámica1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Estrategias</a:t>
            </a:r>
            <a:r>
              <a:rPr lang="en-US" baseline="0"/>
              <a:t> positivas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dk1">
                  <a:lumMod val="75000"/>
                  <a:lumOff val="25000"/>
                </a:schemeClr>
              </a:solidFill>
            </a:ln>
            <a:effectLst/>
          </c:spPr>
        </c:marker>
        <c:dLbl>
          <c:idx val="0"/>
          <c:spPr>
            <a:solidFill>
              <a:srgbClr val="4472C4">
                <a:alpha val="30000"/>
              </a:srgbClr>
            </a:solidFill>
            <a:ln>
              <a:solidFill>
                <a:srgbClr val="FFFFFF">
                  <a:alpha val="50000"/>
                </a:srgb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</c:pivotFmt>
      <c:pivotFmt>
        <c:idx val="2"/>
        <c:spPr>
          <a:solidFill>
            <a:schemeClr val="accent3">
              <a:lumMod val="40000"/>
              <a:lumOff val="60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</c:pivotFmt>
      <c:pivotFmt>
        <c:idx val="4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4472C4">
                <a:alpha val="30000"/>
              </a:srgbClr>
            </a:solidFill>
            <a:ln>
              <a:solidFill>
                <a:srgbClr val="FFFFFF">
                  <a:alpha val="50000"/>
                </a:srgb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</c:pivotFmt>
      <c:pivotFmt>
        <c:idx val="6"/>
        <c:spPr>
          <a:solidFill>
            <a:schemeClr val="accent3">
              <a:lumMod val="40000"/>
              <a:lumOff val="60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</c:pivotFmt>
      <c:pivotFmt>
        <c:idx val="7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</c:pivotFmt>
      <c:pivotFmt>
        <c:idx val="8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4472C4">
                <a:alpha val="30000"/>
              </a:srgbClr>
            </a:solidFill>
            <a:ln>
              <a:solidFill>
                <a:srgbClr val="FFFFFF">
                  <a:alpha val="50000"/>
                </a:srgb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</c:pivotFmt>
      <c:pivotFmt>
        <c:idx val="10"/>
        <c:spPr>
          <a:solidFill>
            <a:schemeClr val="accent3">
              <a:lumMod val="40000"/>
              <a:lumOff val="60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</c:pivotFmt>
      <c:pivotFmt>
        <c:idx val="11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</c:pivotFmt>
      <c:pivotFmt>
        <c:idx val="12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A5A5A5">
                <a:alpha val="30000"/>
              </a:srgbClr>
            </a:solidFill>
            <a:ln>
              <a:solidFill>
                <a:srgbClr val="FFFFFF">
                  <a:alpha val="50000"/>
                </a:srgb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'Tablas dinamicas'!$I$130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B9A-44FA-AD4A-48319C23342A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B9A-44FA-AD4A-48319C23342A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B9A-44FA-AD4A-48319C23342A}"/>
              </c:ext>
            </c:extLst>
          </c:dPt>
          <c:dLbls>
            <c:spPr>
              <a:solidFill>
                <a:srgbClr val="A5A5A5">
                  <a:alpha val="30000"/>
                </a:srgbClr>
              </a:solidFill>
              <a:ln>
                <a:solidFill>
                  <a:srgbClr val="FFFFFF">
                    <a:alpha val="50000"/>
                  </a:srgb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dinamicas'!$H$131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'Tablas dinamicas'!$I$131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8B9A-44FA-AD4A-48319C23342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577641416"/>
        <c:axId val="577633216"/>
        <c:axId val="0"/>
      </c:bar3DChart>
      <c:catAx>
        <c:axId val="577641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77633216"/>
        <c:crosses val="autoZero"/>
        <c:auto val="1"/>
        <c:lblAlgn val="ctr"/>
        <c:lblOffset val="100"/>
        <c:noMultiLvlLbl val="0"/>
      </c:catAx>
      <c:valAx>
        <c:axId val="57763321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77641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8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225136</xdr:colOff>
      <xdr:row>0</xdr:row>
      <xdr:rowOff>0</xdr:rowOff>
    </xdr:from>
    <xdr:to>
      <xdr:col>5</xdr:col>
      <xdr:colOff>623454</xdr:colOff>
      <xdr:row>13</xdr:row>
      <xdr:rowOff>47625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48</xdr:row>
      <xdr:rowOff>9526</xdr:rowOff>
    </xdr:from>
    <xdr:to>
      <xdr:col>5</xdr:col>
      <xdr:colOff>619124</xdr:colOff>
      <xdr:row>61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214312</xdr:colOff>
      <xdr:row>80</xdr:row>
      <xdr:rowOff>152400</xdr:rowOff>
    </xdr:from>
    <xdr:to>
      <xdr:col>5</xdr:col>
      <xdr:colOff>695326</xdr:colOff>
      <xdr:row>88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176213</xdr:colOff>
      <xdr:row>0</xdr:row>
      <xdr:rowOff>1</xdr:rowOff>
    </xdr:from>
    <xdr:to>
      <xdr:col>14</xdr:col>
      <xdr:colOff>2928937</xdr:colOff>
      <xdr:row>16</xdr:row>
      <xdr:rowOff>95251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229721</xdr:colOff>
      <xdr:row>49</xdr:row>
      <xdr:rowOff>23531</xdr:rowOff>
    </xdr:from>
    <xdr:to>
      <xdr:col>14</xdr:col>
      <xdr:colOff>2941544</xdr:colOff>
      <xdr:row>65</xdr:row>
      <xdr:rowOff>23812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124665</xdr:colOff>
      <xdr:row>114</xdr:row>
      <xdr:rowOff>145395</xdr:rowOff>
    </xdr:from>
    <xdr:to>
      <xdr:col>14</xdr:col>
      <xdr:colOff>2836488</xdr:colOff>
      <xdr:row>128</xdr:row>
      <xdr:rowOff>71438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231632</xdr:colOff>
      <xdr:row>160</xdr:row>
      <xdr:rowOff>31172</xdr:rowOff>
    </xdr:from>
    <xdr:to>
      <xdr:col>14</xdr:col>
      <xdr:colOff>2603585</xdr:colOff>
      <xdr:row>179</xdr:row>
      <xdr:rowOff>95250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242455</xdr:colOff>
      <xdr:row>121</xdr:row>
      <xdr:rowOff>152400</xdr:rowOff>
    </xdr:from>
    <xdr:to>
      <xdr:col>5</xdr:col>
      <xdr:colOff>658091</xdr:colOff>
      <xdr:row>137</xdr:row>
      <xdr:rowOff>71437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828675</xdr:colOff>
      <xdr:row>2</xdr:row>
      <xdr:rowOff>19050</xdr:rowOff>
    </xdr:from>
    <xdr:to>
      <xdr:col>6</xdr:col>
      <xdr:colOff>304800</xdr:colOff>
      <xdr:row>16</xdr:row>
      <xdr:rowOff>7175</xdr:rowOff>
    </xdr:to>
    <xdr:graphicFrame macro="">
      <xdr:nvGraphicFramePr>
        <xdr:cNvPr id="2" name="q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828676</xdr:colOff>
      <xdr:row>16</xdr:row>
      <xdr:rowOff>171450</xdr:rowOff>
    </xdr:from>
    <xdr:to>
      <xdr:col>6</xdr:col>
      <xdr:colOff>294410</xdr:colOff>
      <xdr:row>31</xdr:row>
      <xdr:rowOff>54551</xdr:rowOff>
    </xdr:to>
    <xdr:graphicFrame macro="">
      <xdr:nvGraphicFramePr>
        <xdr:cNvPr id="3" name="w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</xdr:colOff>
      <xdr:row>2</xdr:row>
      <xdr:rowOff>68035</xdr:rowOff>
    </xdr:from>
    <xdr:to>
      <xdr:col>18</xdr:col>
      <xdr:colOff>277090</xdr:colOff>
      <xdr:row>16</xdr:row>
      <xdr:rowOff>17317</xdr:rowOff>
    </xdr:to>
    <xdr:graphicFrame macro="">
      <xdr:nvGraphicFramePr>
        <xdr:cNvPr id="4" name="y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27214</xdr:colOff>
      <xdr:row>32</xdr:row>
      <xdr:rowOff>81644</xdr:rowOff>
    </xdr:from>
    <xdr:to>
      <xdr:col>18</xdr:col>
      <xdr:colOff>272144</xdr:colOff>
      <xdr:row>47</xdr:row>
      <xdr:rowOff>110219</xdr:rowOff>
    </xdr:to>
    <xdr:graphicFrame macro="">
      <xdr:nvGraphicFramePr>
        <xdr:cNvPr id="5" name="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813955</xdr:colOff>
      <xdr:row>31</xdr:row>
      <xdr:rowOff>155864</xdr:rowOff>
    </xdr:from>
    <xdr:to>
      <xdr:col>6</xdr:col>
      <xdr:colOff>311729</xdr:colOff>
      <xdr:row>47</xdr:row>
      <xdr:rowOff>30360</xdr:rowOff>
    </xdr:to>
    <xdr:graphicFrame macro="">
      <xdr:nvGraphicFramePr>
        <xdr:cNvPr id="7" name="e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17319</xdr:colOff>
      <xdr:row>17</xdr:row>
      <xdr:rowOff>-1</xdr:rowOff>
    </xdr:from>
    <xdr:to>
      <xdr:col>18</xdr:col>
      <xdr:colOff>259773</xdr:colOff>
      <xdr:row>31</xdr:row>
      <xdr:rowOff>136071</xdr:rowOff>
    </xdr:to>
    <xdr:graphicFrame macro="">
      <xdr:nvGraphicFramePr>
        <xdr:cNvPr id="9" name="i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381000</xdr:colOff>
      <xdr:row>7</xdr:row>
      <xdr:rowOff>86593</xdr:rowOff>
    </xdr:from>
    <xdr:to>
      <xdr:col>12</xdr:col>
      <xdr:colOff>675409</xdr:colOff>
      <xdr:row>34</xdr:row>
      <xdr:rowOff>108858</xdr:rowOff>
    </xdr:to>
    <xdr:graphicFrame macro="">
      <xdr:nvGraphicFramePr>
        <xdr:cNvPr id="10" name="t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23255</xdr:colOff>
      <xdr:row>0</xdr:row>
      <xdr:rowOff>135700</xdr:rowOff>
    </xdr:from>
    <xdr:to>
      <xdr:col>1</xdr:col>
      <xdr:colOff>83432</xdr:colOff>
      <xdr:row>10</xdr:row>
      <xdr:rowOff>149679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MANA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MAN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255" y="135700"/>
              <a:ext cx="891450" cy="174579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278203</xdr:colOff>
      <xdr:row>0</xdr:row>
      <xdr:rowOff>113558</xdr:rowOff>
    </xdr:from>
    <xdr:to>
      <xdr:col>20</xdr:col>
      <xdr:colOff>444458</xdr:colOff>
      <xdr:row>15</xdr:row>
      <xdr:rowOff>39956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FECHA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41112" y="113558"/>
              <a:ext cx="1828801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272143</xdr:colOff>
      <xdr:row>3</xdr:row>
      <xdr:rowOff>0</xdr:rowOff>
    </xdr:from>
    <xdr:to>
      <xdr:col>12</xdr:col>
      <xdr:colOff>571500</xdr:colOff>
      <xdr:row>6</xdr:row>
      <xdr:rowOff>95250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6177643" y="530679"/>
          <a:ext cx="4517571" cy="62592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/>
            <a:t>DASHBOARD</a:t>
          </a:r>
          <a:r>
            <a:rPr lang="en-US" sz="3200" b="1" baseline="0"/>
            <a:t> FUTUROS</a:t>
          </a:r>
          <a:endParaRPr lang="en-US" sz="3200" b="1"/>
        </a:p>
      </xdr:txBody>
    </xdr:sp>
    <xdr:clientData/>
  </xdr:twoCellAnchor>
  <xdr:twoCellAnchor>
    <xdr:from>
      <xdr:col>6</xdr:col>
      <xdr:colOff>775607</xdr:colOff>
      <xdr:row>36</xdr:row>
      <xdr:rowOff>95250</xdr:rowOff>
    </xdr:from>
    <xdr:to>
      <xdr:col>12</xdr:col>
      <xdr:colOff>285750</xdr:colOff>
      <xdr:row>50</xdr:row>
      <xdr:rowOff>89806</xdr:rowOff>
    </xdr:to>
    <xdr:graphicFrame macro="">
      <xdr:nvGraphicFramePr>
        <xdr:cNvPr id="12" name="r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336550</xdr:colOff>
          <xdr:row>16</xdr:row>
          <xdr:rowOff>152400</xdr:rowOff>
        </xdr:from>
        <xdr:to>
          <xdr:col>20</xdr:col>
          <xdr:colOff>342900</xdr:colOff>
          <xdr:row>20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GRAFICOS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s Boutin Pulido" refreshedDate="44110.690932060184" createdVersion="6" refreshedVersion="6" minRefreshableVersion="3" recordCount="150" xr:uid="{B366D336-0847-4C61-A26D-BD850023D5CB}">
  <cacheSource type="worksheet">
    <worksheetSource name="Tabla1"/>
  </cacheSource>
  <cacheFields count="31">
    <cacheField name="FECHA" numFmtId="16">
      <sharedItems containsSemiMixedTypes="0" containsNonDate="0" containsDate="1" containsString="0" minDate="2020-08-03T00:00:00" maxDate="2020-10-01T00:00:00" count="53">
        <d v="2020-09-01T00:00:00"/>
        <d v="2020-09-02T00:00:00"/>
        <d v="2020-09-03T00:00:00"/>
        <d v="2020-09-04T00:00:00"/>
        <d v="2020-09-05T00:00:00"/>
        <d v="2020-09-06T00:00:00"/>
        <d v="2020-09-07T00:00:00"/>
        <d v="2020-09-08T00:00:00"/>
        <d v="2020-09-09T00:00:00"/>
        <d v="2020-09-10T00:00:00"/>
        <d v="2020-09-11T00:00:00"/>
        <d v="2020-09-12T00:00:00"/>
        <d v="2020-09-13T00:00:00"/>
        <d v="2020-09-14T00:00:00"/>
        <d v="2020-09-15T00:00:00"/>
        <d v="2020-09-16T00:00:00"/>
        <d v="2020-09-17T00:00:00"/>
        <d v="2020-09-18T00:00:00"/>
        <d v="2020-09-19T00:00:00"/>
        <d v="2020-09-20T00:00:00"/>
        <d v="2020-09-21T00:00:00"/>
        <d v="2020-09-22T00:00:00"/>
        <d v="2020-09-23T00:00:00"/>
        <d v="2020-09-24T00:00:00"/>
        <d v="2020-09-25T00:00:00"/>
        <d v="2020-09-26T00:00:00"/>
        <d v="2020-09-27T00:00:00"/>
        <d v="2020-09-28T00:00:00"/>
        <d v="2020-09-29T00:00:00"/>
        <d v="2020-09-30T00:00:00"/>
        <d v="2020-08-15T00:00:00" u="1"/>
        <d v="2020-08-27T00:00:00" u="1"/>
        <d v="2020-08-20T00:00:00" u="1"/>
        <d v="2020-08-13T00:00:00" u="1"/>
        <d v="2020-08-06T00:00:00" u="1"/>
        <d v="2020-08-25T00:00:00" u="1"/>
        <d v="2020-08-18T00:00:00" u="1"/>
        <d v="2020-08-11T00:00:00" u="1"/>
        <d v="2020-08-04T00:00:00" u="1"/>
        <d v="2020-08-16T00:00:00" u="1"/>
        <d v="2020-08-28T00:00:00" u="1"/>
        <d v="2020-08-21T00:00:00" u="1"/>
        <d v="2020-08-14T00:00:00" u="1"/>
        <d v="2020-08-07T00:00:00" u="1"/>
        <d v="2020-08-26T00:00:00" u="1"/>
        <d v="2020-08-19T00:00:00" u="1"/>
        <d v="2020-08-12T00:00:00" u="1"/>
        <d v="2020-08-31T00:00:00" u="1"/>
        <d v="2020-08-05T00:00:00" u="1"/>
        <d v="2020-08-24T00:00:00" u="1"/>
        <d v="2020-08-17T00:00:00" u="1"/>
        <d v="2020-08-10T00:00:00" u="1"/>
        <d v="2020-08-03T00:00:00" u="1"/>
      </sharedItems>
    </cacheField>
    <cacheField name="SEMANA" numFmtId="0">
      <sharedItems containsSemiMixedTypes="0" containsString="0" containsNumber="1" containsInteger="1" minValue="32" maxValue="40" count="9">
        <n v="36"/>
        <n v="37"/>
        <n v="38"/>
        <n v="39"/>
        <n v="40"/>
        <n v="34" u="1"/>
        <n v="33" u="1"/>
        <n v="35" u="1"/>
        <n v="32" u="1"/>
      </sharedItems>
    </cacheField>
    <cacheField name="DÍAS" numFmtId="169">
      <sharedItems containsSemiMixedTypes="0" containsNonDate="0" containsDate="1" containsString="0" minDate="2020-08-03T00:00:00" maxDate="2020-10-01T00:00:00" count="53">
        <d v="2020-09-01T00:00:00"/>
        <d v="2020-09-02T00:00:00"/>
        <d v="2020-09-03T00:00:00"/>
        <d v="2020-09-04T00:00:00"/>
        <d v="2020-09-05T00:00:00"/>
        <d v="2020-09-06T00:00:00"/>
        <d v="2020-09-07T00:00:00"/>
        <d v="2020-09-08T00:00:00"/>
        <d v="2020-09-09T00:00:00"/>
        <d v="2020-09-10T00:00:00"/>
        <d v="2020-09-11T00:00:00"/>
        <d v="2020-09-12T00:00:00"/>
        <d v="2020-09-13T00:00:00"/>
        <d v="2020-09-14T00:00:00"/>
        <d v="2020-09-15T00:00:00"/>
        <d v="2020-09-16T00:00:00"/>
        <d v="2020-09-17T00:00:00"/>
        <d v="2020-09-18T00:00:00"/>
        <d v="2020-09-19T00:00:00"/>
        <d v="2020-09-20T00:00:00"/>
        <d v="2020-09-21T00:00:00"/>
        <d v="2020-09-22T00:00:00"/>
        <d v="2020-09-23T00:00:00"/>
        <d v="2020-09-24T00:00:00"/>
        <d v="2020-09-25T00:00:00"/>
        <d v="2020-09-26T00:00:00"/>
        <d v="2020-09-27T00:00:00"/>
        <d v="2020-09-28T00:00:00"/>
        <d v="2020-09-29T00:00:00"/>
        <d v="2020-09-30T00:00:00"/>
        <d v="2020-08-15T00:00:00" u="1"/>
        <d v="2020-08-27T00:00:00" u="1"/>
        <d v="2020-08-20T00:00:00" u="1"/>
        <d v="2020-08-13T00:00:00" u="1"/>
        <d v="2020-08-06T00:00:00" u="1"/>
        <d v="2020-08-25T00:00:00" u="1"/>
        <d v="2020-08-18T00:00:00" u="1"/>
        <d v="2020-08-11T00:00:00" u="1"/>
        <d v="2020-08-04T00:00:00" u="1"/>
        <d v="2020-08-16T00:00:00" u="1"/>
        <d v="2020-08-28T00:00:00" u="1"/>
        <d v="2020-08-21T00:00:00" u="1"/>
        <d v="2020-08-14T00:00:00" u="1"/>
        <d v="2020-08-07T00:00:00" u="1"/>
        <d v="2020-08-26T00:00:00" u="1"/>
        <d v="2020-08-19T00:00:00" u="1"/>
        <d v="2020-08-12T00:00:00" u="1"/>
        <d v="2020-08-31T00:00:00" u="1"/>
        <d v="2020-08-05T00:00:00" u="1"/>
        <d v="2020-08-24T00:00:00" u="1"/>
        <d v="2020-08-17T00:00:00" u="1"/>
        <d v="2020-08-10T00:00:00" u="1"/>
        <d v="2020-08-03T00:00:00" u="1"/>
      </sharedItems>
    </cacheField>
    <cacheField name="N°" numFmtId="0">
      <sharedItems containsString="0" containsBlank="1" containsNumber="1" containsInteger="1" minValue="1" maxValue="30" count="31">
        <n v="1"/>
        <n v="2"/>
        <n v="3"/>
        <n v="4"/>
        <n v="5"/>
        <m/>
        <n v="13" u="1"/>
        <n v="14" u="1"/>
        <n v="15" u="1"/>
        <n v="6" u="1"/>
        <n v="16" u="1"/>
        <n v="17" u="1"/>
        <n v="18" u="1"/>
        <n v="19" u="1"/>
        <n v="7" u="1"/>
        <n v="20" u="1"/>
        <n v="21" u="1"/>
        <n v="22" u="1"/>
        <n v="23" u="1"/>
        <n v="8" u="1"/>
        <n v="24" u="1"/>
        <n v="25" u="1"/>
        <n v="9" u="1"/>
        <n v="26" u="1"/>
        <n v="27" u="1"/>
        <n v="10" u="1"/>
        <n v="28" u="1"/>
        <n v="29" u="1"/>
        <n v="11" u="1"/>
        <n v="30" u="1"/>
        <n v="12" u="1"/>
      </sharedItems>
    </cacheField>
    <cacheField name="TIPO DE OPERACIÓN" numFmtId="0">
      <sharedItems containsBlank="1" count="3">
        <m/>
        <s v="SELL"/>
        <s v="BUY" u="1"/>
      </sharedItems>
    </cacheField>
    <cacheField name="HORA DE APERTURA" numFmtId="164">
      <sharedItems containsNonDate="0" containsDate="1" containsString="0" containsBlank="1" minDate="1899-12-30T08:28:00" maxDate="1899-12-30T14:57:00"/>
    </cacheField>
    <cacheField name="PRECIO DE ENTRADA" numFmtId="165">
      <sharedItems containsString="0" containsBlank="1" containsNumber="1" minValue="1505.5" maxValue="1520.8"/>
    </cacheField>
    <cacheField name="ENTRY STRATEGY" numFmtId="165">
      <sharedItems containsBlank="1" count="6">
        <m/>
        <s v="PRIMERA ROJA"/>
        <s v="HACIA CLUSTER"/>
        <s v="DESDE CLUSTER" u="1"/>
        <s v="CLUSTER A CLUSTER" u="1"/>
        <s v="LALA" u="1"/>
      </sharedItems>
    </cacheField>
    <cacheField name="HORA DE SALIDA" numFmtId="164">
      <sharedItems containsNonDate="0" containsDate="1" containsString="0" containsBlank="1" minDate="1899-12-30T08:31:00" maxDate="1899-12-30T19:05:00"/>
    </cacheField>
    <cacheField name="PRECIO DE SALIDA" numFmtId="165">
      <sharedItems containsString="0" containsBlank="1" containsNumber="1" minValue="1495.1" maxValue="1519.5"/>
    </cacheField>
    <cacheField name="EXIT REASON" numFmtId="165">
      <sharedItems containsBlank="1"/>
    </cacheField>
    <cacheField name="TIEMPO DE VUELO" numFmtId="20">
      <sharedItems containsSemiMixedTypes="0" containsNonDate="0" containsDate="1" containsString="0" minDate="1899-12-30T00:00:00" maxDate="1899-12-31T00:00:00"/>
    </cacheField>
    <cacheField name="DIFERENCIA EN MONEDA" numFmtId="165">
      <sharedItems containsSemiMixedTypes="0" containsString="0" containsNumber="1" minValue="-2.1999999999998181" maxValue="10.400000000000091"/>
    </cacheField>
    <cacheField name="FACTOR _x000a_CONT.MICRO" numFmtId="165">
      <sharedItems containsString="0" containsBlank="1" containsNumber="1" containsInteger="1" minValue="5" maxValue="5"/>
    </cacheField>
    <cacheField name="N° CONTRATOS" numFmtId="0">
      <sharedItems containsString="0" containsBlank="1" containsNumber="1" containsInteger="1" minValue="1" maxValue="1"/>
    </cacheField>
    <cacheField name="Comision" numFmtId="0">
      <sharedItems containsSemiMixedTypes="0" containsString="0" containsNumber="1" containsInteger="1" minValue="0" maxValue="1"/>
    </cacheField>
    <cacheField name="FC" numFmtId="1">
      <sharedItems containsBlank="1" containsMixedTypes="1" containsNumber="1" containsInteger="1" minValue="0" maxValue="0"/>
    </cacheField>
    <cacheField name="FR" numFmtId="1">
      <sharedItems containsBlank="1" containsMixedTypes="1" containsNumber="1" containsInteger="1" minValue="0" maxValue="0"/>
    </cacheField>
    <cacheField name="NE" numFmtId="1">
      <sharedItems containsBlank="1" containsMixedTypes="1" containsNumber="1" containsInteger="1" minValue="0" maxValue="0"/>
    </cacheField>
    <cacheField name="BS" numFmtId="167">
      <sharedItems containsBlank="1" containsMixedTypes="1" containsNumber="1" containsInteger="1" minValue="0" maxValue="0"/>
    </cacheField>
    <cacheField name="CONSOLIDADO DE TODAS LAS OPERACIONES" numFmtId="166">
      <sharedItems containsSemiMixedTypes="0" containsString="0" containsNumber="1" minValue="-11.999999999999091" maxValue="51.000000000000455"/>
    </cacheField>
    <cacheField name="RESULTADO DEL DÍA" numFmtId="0">
      <sharedItems containsString="0" containsBlank="1" containsNumber="1" minValue="-6.4999999999993179" maxValue="76.999999999999773"/>
    </cacheField>
    <cacheField name="Total Cuenta Real" numFmtId="0">
      <sharedItems containsString="0" containsBlank="1" containsNumber="1" minValue="1199" maxValue="1275.9999999999998"/>
    </cacheField>
    <cacheField name="Cuenta mas Objetivo" numFmtId="0">
      <sharedItems containsString="0" containsBlank="1" containsNumber="1" containsInteger="1" minValue="1199" maxValue="1299"/>
    </cacheField>
    <cacheField name="Perdidad  presupuestada" numFmtId="165">
      <sharedItems containsBlank="1" containsMixedTypes="1" containsNumber="1" containsInteger="1" minValue="10" maxValue="10"/>
    </cacheField>
    <cacheField name="Objetivo presupuestado" numFmtId="0">
      <sharedItems containsBlank="1" containsMixedTypes="1" containsNumber="1" containsInteger="1" minValue="50" maxValue="50"/>
    </cacheField>
    <cacheField name="PF" numFmtId="0">
      <sharedItems containsString="0" containsBlank="1" containsNumber="1" minValue="0" maxValue="15.799999999999955"/>
    </cacheField>
    <cacheField name="AB" numFmtId="0">
      <sharedItems containsBlank="1" containsMixedTypes="1" containsNumber="1" minValue="0.5" maxValue="1"/>
    </cacheField>
    <cacheField name="Cuenta N° de Operaciones" numFmtId="1">
      <sharedItems containsMixedTypes="1" containsNumber="1" containsInteger="1" minValue="1" maxValue="1"/>
    </cacheField>
    <cacheField name="Total Positivo" numFmtId="166">
      <sharedItems containsMixedTypes="1" containsNumber="1" minValue="1.2999999999999545" maxValue="10.400000000000091"/>
    </cacheField>
    <cacheField name="Total Negativo" numFmtId="166">
      <sharedItems containsMixedTypes="1" containsNumber="1" minValue="-2.1999999999998181" maxValue="-2.1999999999998181"/>
    </cacheField>
  </cacheFields>
  <extLst>
    <ext xmlns:x14="http://schemas.microsoft.com/office/spreadsheetml/2009/9/main" uri="{725AE2AE-9491-48be-B2B4-4EB974FC3084}">
      <x14:pivotCacheDefinition pivotCacheId="177579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x v="0"/>
    <x v="0"/>
    <x v="0"/>
    <x v="0"/>
    <m/>
    <m/>
    <x v="0"/>
    <m/>
    <m/>
    <m/>
    <d v="1899-12-30T00:00:00"/>
    <n v="0"/>
    <n v="5"/>
    <n v="1"/>
    <n v="0"/>
    <n v="0"/>
    <n v="0"/>
    <n v="0"/>
    <n v="0"/>
    <n v="0"/>
    <n v="0"/>
    <n v="1199"/>
    <n v="1199"/>
    <s v="0"/>
    <s v="0"/>
    <n v="0"/>
    <s v="0"/>
    <s v=""/>
    <s v=""/>
    <s v=""/>
  </r>
  <r>
    <x v="0"/>
    <x v="0"/>
    <x v="0"/>
    <x v="1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0"/>
    <x v="0"/>
    <x v="0"/>
    <x v="2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0"/>
    <x v="0"/>
    <x v="0"/>
    <x v="3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0"/>
    <x v="0"/>
    <x v="0"/>
    <x v="4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"/>
    <x v="0"/>
    <x v="1"/>
    <x v="0"/>
    <x v="0"/>
    <m/>
    <m/>
    <x v="0"/>
    <m/>
    <m/>
    <m/>
    <d v="1899-12-30T00:00:00"/>
    <n v="0"/>
    <n v="5"/>
    <n v="1"/>
    <n v="0"/>
    <m/>
    <m/>
    <m/>
    <m/>
    <n v="0"/>
    <n v="0"/>
    <n v="1199"/>
    <n v="1199"/>
    <s v="0"/>
    <s v="0"/>
    <n v="0"/>
    <s v="0"/>
    <s v=""/>
    <s v=""/>
    <s v=""/>
  </r>
  <r>
    <x v="1"/>
    <x v="0"/>
    <x v="1"/>
    <x v="1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"/>
    <x v="0"/>
    <x v="1"/>
    <x v="2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"/>
    <x v="0"/>
    <x v="1"/>
    <x v="3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"/>
    <x v="0"/>
    <x v="1"/>
    <x v="4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"/>
    <x v="0"/>
    <x v="2"/>
    <x v="0"/>
    <x v="0"/>
    <m/>
    <m/>
    <x v="0"/>
    <m/>
    <m/>
    <m/>
    <d v="1899-12-30T00:00:00"/>
    <n v="0"/>
    <n v="5"/>
    <n v="1"/>
    <n v="0"/>
    <s v=" "/>
    <s v=" "/>
    <s v=" "/>
    <s v=" "/>
    <n v="0"/>
    <n v="0"/>
    <n v="1199"/>
    <n v="1199"/>
    <s v="0"/>
    <s v="0"/>
    <n v="0"/>
    <s v="0"/>
    <s v=""/>
    <s v=""/>
    <s v=""/>
  </r>
  <r>
    <x v="2"/>
    <x v="0"/>
    <x v="2"/>
    <x v="1"/>
    <x v="0"/>
    <m/>
    <m/>
    <x v="0"/>
    <m/>
    <m/>
    <m/>
    <d v="1899-12-30T00:00:00"/>
    <n v="0"/>
    <n v="5"/>
    <n v="1"/>
    <n v="0"/>
    <s v=" "/>
    <s v=" "/>
    <s v=" "/>
    <s v=" "/>
    <n v="0"/>
    <m/>
    <m/>
    <m/>
    <m/>
    <m/>
    <m/>
    <m/>
    <s v=""/>
    <s v=""/>
    <s v=""/>
  </r>
  <r>
    <x v="2"/>
    <x v="0"/>
    <x v="2"/>
    <x v="2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"/>
    <x v="0"/>
    <x v="2"/>
    <x v="3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"/>
    <x v="0"/>
    <x v="2"/>
    <x v="4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3"/>
    <x v="0"/>
    <x v="3"/>
    <x v="0"/>
    <x v="0"/>
    <m/>
    <m/>
    <x v="0"/>
    <m/>
    <m/>
    <m/>
    <d v="1899-12-30T00:00:00"/>
    <n v="0"/>
    <n v="5"/>
    <n v="1"/>
    <n v="0"/>
    <m/>
    <m/>
    <m/>
    <m/>
    <n v="0"/>
    <n v="0"/>
    <n v="1199"/>
    <n v="1199"/>
    <s v="0"/>
    <s v="0"/>
    <n v="0"/>
    <s v="0"/>
    <s v=""/>
    <s v=""/>
    <s v=""/>
  </r>
  <r>
    <x v="3"/>
    <x v="0"/>
    <x v="3"/>
    <x v="1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3"/>
    <x v="0"/>
    <x v="3"/>
    <x v="2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3"/>
    <x v="0"/>
    <x v="3"/>
    <x v="3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3"/>
    <x v="0"/>
    <x v="3"/>
    <x v="4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4"/>
    <x v="0"/>
    <x v="4"/>
    <x v="0"/>
    <x v="0"/>
    <m/>
    <m/>
    <x v="0"/>
    <m/>
    <m/>
    <m/>
    <d v="1899-12-30T00:00:00"/>
    <n v="0"/>
    <n v="5"/>
    <n v="1"/>
    <n v="0"/>
    <m/>
    <m/>
    <m/>
    <m/>
    <n v="0"/>
    <n v="0"/>
    <n v="1199"/>
    <n v="1199"/>
    <s v="0"/>
    <s v="0"/>
    <n v="0"/>
    <s v="0"/>
    <s v=""/>
    <s v=""/>
    <s v=""/>
  </r>
  <r>
    <x v="4"/>
    <x v="0"/>
    <x v="4"/>
    <x v="1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4"/>
    <x v="0"/>
    <x v="4"/>
    <x v="2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4"/>
    <x v="0"/>
    <x v="4"/>
    <x v="3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4"/>
    <x v="0"/>
    <x v="4"/>
    <x v="4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5"/>
    <x v="0"/>
    <x v="5"/>
    <x v="0"/>
    <x v="0"/>
    <m/>
    <m/>
    <x v="0"/>
    <m/>
    <m/>
    <m/>
    <d v="1899-12-30T00:00:00"/>
    <n v="0"/>
    <n v="5"/>
    <n v="1"/>
    <n v="0"/>
    <m/>
    <m/>
    <m/>
    <m/>
    <n v="0"/>
    <n v="0"/>
    <n v="1199"/>
    <n v="1199"/>
    <s v="0"/>
    <s v="0"/>
    <n v="0"/>
    <s v="0"/>
    <s v=""/>
    <s v=""/>
    <s v=""/>
  </r>
  <r>
    <x v="5"/>
    <x v="0"/>
    <x v="5"/>
    <x v="1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5"/>
    <x v="0"/>
    <x v="5"/>
    <x v="2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5"/>
    <x v="0"/>
    <x v="5"/>
    <x v="3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5"/>
    <x v="0"/>
    <x v="5"/>
    <x v="4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6"/>
    <x v="1"/>
    <x v="6"/>
    <x v="0"/>
    <x v="0"/>
    <m/>
    <m/>
    <x v="0"/>
    <m/>
    <m/>
    <m/>
    <d v="1899-12-30T00:00:00"/>
    <n v="0"/>
    <n v="5"/>
    <n v="1"/>
    <n v="0"/>
    <m/>
    <m/>
    <m/>
    <m/>
    <n v="0"/>
    <n v="0"/>
    <n v="1199"/>
    <n v="1199"/>
    <s v="0"/>
    <s v="0"/>
    <n v="0"/>
    <s v="0"/>
    <s v=""/>
    <s v=""/>
    <s v=""/>
  </r>
  <r>
    <x v="6"/>
    <x v="1"/>
    <x v="6"/>
    <x v="1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6"/>
    <x v="1"/>
    <x v="6"/>
    <x v="2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6"/>
    <x v="1"/>
    <x v="6"/>
    <x v="3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6"/>
    <x v="1"/>
    <x v="6"/>
    <x v="4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7"/>
    <x v="1"/>
    <x v="7"/>
    <x v="0"/>
    <x v="1"/>
    <d v="1899-12-30T08:31:00"/>
    <n v="1509.3"/>
    <x v="1"/>
    <d v="1899-12-30T08:41:00"/>
    <n v="1503.9"/>
    <s v="Cambio Tendencia iRatio"/>
    <d v="1899-12-30T00:10:00"/>
    <n v="5.3999999999998636"/>
    <n v="5"/>
    <n v="1"/>
    <n v="1"/>
    <m/>
    <m/>
    <m/>
    <m/>
    <n v="25.999999999999318"/>
    <n v="76.999999999999773"/>
    <n v="1275.9999999999998"/>
    <n v="1249"/>
    <n v="10"/>
    <n v="50"/>
    <n v="15.799999999999955"/>
    <n v="1"/>
    <n v="1"/>
    <n v="5.3999999999998636"/>
    <s v=""/>
  </r>
  <r>
    <x v="7"/>
    <x v="1"/>
    <x v="7"/>
    <x v="1"/>
    <x v="1"/>
    <d v="1899-12-30T14:57:00"/>
    <n v="1505.5"/>
    <x v="1"/>
    <d v="1899-12-30T19:05:00"/>
    <n v="1495.1"/>
    <s v="Seguimiento Drone"/>
    <d v="1899-12-30T04:08:00"/>
    <n v="10.400000000000091"/>
    <n v="5"/>
    <n v="1"/>
    <n v="1"/>
    <m/>
    <m/>
    <m/>
    <m/>
    <n v="51.000000000000455"/>
    <m/>
    <m/>
    <m/>
    <m/>
    <m/>
    <m/>
    <m/>
    <n v="1"/>
    <n v="10.400000000000091"/>
    <s v=""/>
  </r>
  <r>
    <x v="7"/>
    <x v="1"/>
    <x v="7"/>
    <x v="2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7"/>
    <x v="1"/>
    <x v="7"/>
    <x v="3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7"/>
    <x v="1"/>
    <x v="7"/>
    <x v="4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8"/>
    <x v="1"/>
    <x v="8"/>
    <x v="0"/>
    <x v="1"/>
    <d v="1899-12-30T08:28:00"/>
    <n v="1520.8"/>
    <x v="2"/>
    <d v="1899-12-30T08:31:00"/>
    <n v="1519.5"/>
    <s v="TSL"/>
    <d v="1899-12-30T00:03:00"/>
    <n v="1.2999999999999545"/>
    <n v="5"/>
    <n v="1"/>
    <n v="1"/>
    <m/>
    <m/>
    <m/>
    <m/>
    <n v="5.4999999999997726"/>
    <n v="-6.4999999999993179"/>
    <n v="1269.5000000000005"/>
    <n v="1299"/>
    <n v="10"/>
    <n v="50"/>
    <n v="0.59090909090911914"/>
    <n v="0.5"/>
    <n v="1"/>
    <n v="1.2999999999999545"/>
    <s v=""/>
  </r>
  <r>
    <x v="8"/>
    <x v="1"/>
    <x v="8"/>
    <x v="1"/>
    <x v="1"/>
    <d v="1899-12-30T08:33:00"/>
    <n v="1516.9"/>
    <x v="2"/>
    <d v="1899-12-30T09:21:00"/>
    <n v="1519.1"/>
    <s v="Gerencia Errada"/>
    <d v="1899-12-30T00:48:00"/>
    <n v="-2.1999999999998181"/>
    <n v="5"/>
    <n v="1"/>
    <n v="1"/>
    <m/>
    <m/>
    <m/>
    <m/>
    <n v="-11.999999999999091"/>
    <m/>
    <m/>
    <m/>
    <m/>
    <m/>
    <m/>
    <m/>
    <n v="1"/>
    <s v=""/>
    <n v="-2.1999999999998181"/>
  </r>
  <r>
    <x v="8"/>
    <x v="1"/>
    <x v="8"/>
    <x v="2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8"/>
    <x v="1"/>
    <x v="8"/>
    <x v="3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8"/>
    <x v="1"/>
    <x v="8"/>
    <x v="4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9"/>
    <x v="1"/>
    <x v="9"/>
    <x v="0"/>
    <x v="0"/>
    <m/>
    <m/>
    <x v="0"/>
    <m/>
    <m/>
    <m/>
    <d v="1899-12-30T00:00:00"/>
    <n v="0"/>
    <n v="5"/>
    <n v="1"/>
    <n v="0"/>
    <m/>
    <m/>
    <m/>
    <m/>
    <n v="0"/>
    <n v="0"/>
    <n v="1269.5000000000005"/>
    <n v="1299"/>
    <s v="0"/>
    <s v="0"/>
    <n v="0"/>
    <s v="0"/>
    <s v=""/>
    <s v=""/>
    <s v=""/>
  </r>
  <r>
    <x v="9"/>
    <x v="1"/>
    <x v="9"/>
    <x v="1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9"/>
    <x v="1"/>
    <x v="9"/>
    <x v="2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9"/>
    <x v="1"/>
    <x v="9"/>
    <x v="3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9"/>
    <x v="1"/>
    <x v="9"/>
    <x v="4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0"/>
    <x v="1"/>
    <x v="10"/>
    <x v="0"/>
    <x v="0"/>
    <m/>
    <m/>
    <x v="0"/>
    <m/>
    <m/>
    <m/>
    <d v="1899-12-30T00:00:00"/>
    <n v="0"/>
    <n v="5"/>
    <n v="1"/>
    <n v="0"/>
    <m/>
    <m/>
    <m/>
    <m/>
    <n v="0"/>
    <n v="0"/>
    <n v="1269.5000000000005"/>
    <n v="1299"/>
    <s v="0"/>
    <s v="0"/>
    <n v="0"/>
    <s v="0"/>
    <s v=""/>
    <s v=""/>
    <s v=""/>
  </r>
  <r>
    <x v="10"/>
    <x v="1"/>
    <x v="10"/>
    <x v="1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0"/>
    <x v="1"/>
    <x v="10"/>
    <x v="2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0"/>
    <x v="1"/>
    <x v="10"/>
    <x v="3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0"/>
    <x v="1"/>
    <x v="10"/>
    <x v="4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1"/>
    <x v="1"/>
    <x v="11"/>
    <x v="0"/>
    <x v="0"/>
    <m/>
    <m/>
    <x v="0"/>
    <m/>
    <m/>
    <m/>
    <d v="1899-12-30T00:00:00"/>
    <n v="0"/>
    <n v="5"/>
    <n v="1"/>
    <n v="0"/>
    <m/>
    <m/>
    <m/>
    <m/>
    <n v="0"/>
    <n v="0"/>
    <n v="1269.5000000000005"/>
    <n v="1299"/>
    <s v="0"/>
    <s v="0"/>
    <n v="0"/>
    <s v="0"/>
    <s v=""/>
    <s v=""/>
    <s v=""/>
  </r>
  <r>
    <x v="11"/>
    <x v="1"/>
    <x v="11"/>
    <x v="1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1"/>
    <x v="1"/>
    <x v="11"/>
    <x v="2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1"/>
    <x v="1"/>
    <x v="11"/>
    <x v="3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1"/>
    <x v="1"/>
    <x v="11"/>
    <x v="4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2"/>
    <x v="1"/>
    <x v="12"/>
    <x v="0"/>
    <x v="0"/>
    <m/>
    <m/>
    <x v="0"/>
    <m/>
    <m/>
    <m/>
    <d v="1899-12-30T00:00:00"/>
    <n v="0"/>
    <n v="5"/>
    <n v="1"/>
    <n v="0"/>
    <m/>
    <m/>
    <m/>
    <m/>
    <n v="0"/>
    <n v="0"/>
    <n v="1269.5000000000005"/>
    <n v="1299"/>
    <s v="0"/>
    <s v="0"/>
    <n v="0"/>
    <s v="0"/>
    <s v=""/>
    <s v=""/>
    <s v=""/>
  </r>
  <r>
    <x v="12"/>
    <x v="1"/>
    <x v="12"/>
    <x v="1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2"/>
    <x v="1"/>
    <x v="12"/>
    <x v="2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2"/>
    <x v="1"/>
    <x v="12"/>
    <x v="3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2"/>
    <x v="1"/>
    <x v="12"/>
    <x v="4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3"/>
    <x v="2"/>
    <x v="13"/>
    <x v="0"/>
    <x v="0"/>
    <m/>
    <m/>
    <x v="0"/>
    <m/>
    <m/>
    <m/>
    <d v="1899-12-30T00:00:00"/>
    <n v="0"/>
    <n v="5"/>
    <n v="1"/>
    <n v="0"/>
    <m/>
    <m/>
    <m/>
    <m/>
    <n v="0"/>
    <n v="0"/>
    <n v="1269.5000000000005"/>
    <n v="1299"/>
    <s v="0"/>
    <s v="0"/>
    <n v="0"/>
    <s v="0"/>
    <s v=""/>
    <s v=""/>
    <s v=""/>
  </r>
  <r>
    <x v="13"/>
    <x v="2"/>
    <x v="13"/>
    <x v="1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3"/>
    <x v="2"/>
    <x v="13"/>
    <x v="2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3"/>
    <x v="2"/>
    <x v="13"/>
    <x v="3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3"/>
    <x v="2"/>
    <x v="13"/>
    <x v="4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4"/>
    <x v="2"/>
    <x v="14"/>
    <x v="0"/>
    <x v="0"/>
    <m/>
    <m/>
    <x v="0"/>
    <m/>
    <m/>
    <m/>
    <d v="1899-12-30T00:00:00"/>
    <n v="0"/>
    <n v="5"/>
    <n v="1"/>
    <n v="0"/>
    <m/>
    <m/>
    <m/>
    <m/>
    <n v="0"/>
    <n v="0"/>
    <n v="1269.5000000000005"/>
    <n v="1299"/>
    <s v="0"/>
    <s v="0"/>
    <n v="0"/>
    <s v="0"/>
    <s v=""/>
    <s v=""/>
    <s v=""/>
  </r>
  <r>
    <x v="14"/>
    <x v="2"/>
    <x v="14"/>
    <x v="1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4"/>
    <x v="2"/>
    <x v="14"/>
    <x v="2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4"/>
    <x v="2"/>
    <x v="14"/>
    <x v="3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4"/>
    <x v="2"/>
    <x v="14"/>
    <x v="4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5"/>
    <x v="2"/>
    <x v="15"/>
    <x v="0"/>
    <x v="0"/>
    <m/>
    <m/>
    <x v="0"/>
    <m/>
    <m/>
    <m/>
    <d v="1899-12-30T00:00:00"/>
    <n v="0"/>
    <n v="5"/>
    <n v="1"/>
    <n v="0"/>
    <m/>
    <m/>
    <m/>
    <m/>
    <n v="0"/>
    <n v="0"/>
    <n v="1269.5000000000005"/>
    <n v="1299"/>
    <s v="0"/>
    <s v="0"/>
    <n v="0"/>
    <s v="0"/>
    <s v=""/>
    <s v=""/>
    <s v=""/>
  </r>
  <r>
    <x v="15"/>
    <x v="2"/>
    <x v="15"/>
    <x v="1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5"/>
    <x v="2"/>
    <x v="15"/>
    <x v="2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5"/>
    <x v="2"/>
    <x v="15"/>
    <x v="3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5"/>
    <x v="2"/>
    <x v="15"/>
    <x v="4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6"/>
    <x v="2"/>
    <x v="16"/>
    <x v="0"/>
    <x v="0"/>
    <m/>
    <m/>
    <x v="0"/>
    <m/>
    <m/>
    <m/>
    <d v="1899-12-30T00:00:00"/>
    <n v="0"/>
    <n v="5"/>
    <n v="1"/>
    <n v="0"/>
    <m/>
    <m/>
    <m/>
    <m/>
    <n v="0"/>
    <n v="0"/>
    <n v="1269.5000000000005"/>
    <n v="1299"/>
    <s v="0"/>
    <s v="0"/>
    <n v="0"/>
    <s v="0"/>
    <s v=""/>
    <s v=""/>
    <s v=""/>
  </r>
  <r>
    <x v="16"/>
    <x v="2"/>
    <x v="16"/>
    <x v="1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6"/>
    <x v="2"/>
    <x v="16"/>
    <x v="2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6"/>
    <x v="2"/>
    <x v="16"/>
    <x v="3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6"/>
    <x v="2"/>
    <x v="16"/>
    <x v="4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7"/>
    <x v="2"/>
    <x v="17"/>
    <x v="0"/>
    <x v="0"/>
    <m/>
    <m/>
    <x v="0"/>
    <m/>
    <m/>
    <m/>
    <d v="1899-12-30T00:00:00"/>
    <n v="0"/>
    <n v="5"/>
    <n v="1"/>
    <n v="0"/>
    <m/>
    <m/>
    <m/>
    <m/>
    <n v="0"/>
    <n v="0"/>
    <n v="1269.5000000000005"/>
    <n v="1299"/>
    <s v="0"/>
    <s v="0"/>
    <n v="0"/>
    <s v="0"/>
    <s v=""/>
    <s v=""/>
    <s v=""/>
  </r>
  <r>
    <x v="17"/>
    <x v="2"/>
    <x v="17"/>
    <x v="1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7"/>
    <x v="2"/>
    <x v="17"/>
    <x v="2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7"/>
    <x v="2"/>
    <x v="17"/>
    <x v="3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7"/>
    <x v="2"/>
    <x v="17"/>
    <x v="4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8"/>
    <x v="2"/>
    <x v="18"/>
    <x v="0"/>
    <x v="0"/>
    <m/>
    <m/>
    <x v="0"/>
    <m/>
    <m/>
    <m/>
    <d v="1899-12-30T00:00:00"/>
    <n v="0"/>
    <n v="5"/>
    <n v="1"/>
    <n v="0"/>
    <m/>
    <m/>
    <m/>
    <m/>
    <n v="0"/>
    <n v="0"/>
    <n v="1269.5000000000005"/>
    <n v="1299"/>
    <s v="0"/>
    <s v="0"/>
    <n v="0"/>
    <s v="0"/>
    <s v=""/>
    <s v=""/>
    <s v=""/>
  </r>
  <r>
    <x v="18"/>
    <x v="2"/>
    <x v="18"/>
    <x v="1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8"/>
    <x v="2"/>
    <x v="18"/>
    <x v="2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8"/>
    <x v="2"/>
    <x v="18"/>
    <x v="3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8"/>
    <x v="2"/>
    <x v="18"/>
    <x v="4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9"/>
    <x v="2"/>
    <x v="19"/>
    <x v="0"/>
    <x v="0"/>
    <m/>
    <m/>
    <x v="0"/>
    <m/>
    <m/>
    <m/>
    <d v="1899-12-30T00:00:00"/>
    <n v="0"/>
    <n v="5"/>
    <n v="1"/>
    <n v="0"/>
    <m/>
    <m/>
    <m/>
    <m/>
    <n v="0"/>
    <n v="0"/>
    <n v="1269.5000000000005"/>
    <n v="1299"/>
    <s v="0"/>
    <s v="0"/>
    <n v="0"/>
    <s v="0"/>
    <s v=""/>
    <s v=""/>
    <s v=""/>
  </r>
  <r>
    <x v="19"/>
    <x v="2"/>
    <x v="19"/>
    <x v="1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9"/>
    <x v="2"/>
    <x v="19"/>
    <x v="2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9"/>
    <x v="2"/>
    <x v="19"/>
    <x v="3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19"/>
    <x v="2"/>
    <x v="19"/>
    <x v="4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0"/>
    <x v="3"/>
    <x v="20"/>
    <x v="0"/>
    <x v="0"/>
    <m/>
    <m/>
    <x v="0"/>
    <m/>
    <m/>
    <m/>
    <d v="1899-12-30T00:00:00"/>
    <n v="0"/>
    <n v="5"/>
    <n v="1"/>
    <n v="0"/>
    <m/>
    <m/>
    <m/>
    <m/>
    <n v="0"/>
    <n v="0"/>
    <n v="1269.5000000000005"/>
    <n v="1299"/>
    <s v="0"/>
    <s v="0"/>
    <n v="0"/>
    <s v="0"/>
    <s v=""/>
    <s v=""/>
    <s v=""/>
  </r>
  <r>
    <x v="20"/>
    <x v="3"/>
    <x v="20"/>
    <x v="1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0"/>
    <x v="3"/>
    <x v="20"/>
    <x v="2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0"/>
    <x v="3"/>
    <x v="20"/>
    <x v="3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0"/>
    <x v="3"/>
    <x v="20"/>
    <x v="4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1"/>
    <x v="3"/>
    <x v="21"/>
    <x v="0"/>
    <x v="0"/>
    <m/>
    <m/>
    <x v="0"/>
    <m/>
    <m/>
    <m/>
    <d v="1899-12-30T00:00:00"/>
    <n v="0"/>
    <n v="5"/>
    <n v="1"/>
    <n v="0"/>
    <m/>
    <m/>
    <m/>
    <m/>
    <n v="0"/>
    <n v="0"/>
    <n v="1269.5000000000005"/>
    <n v="1299"/>
    <s v="0"/>
    <s v="0"/>
    <n v="0"/>
    <s v="0"/>
    <s v=""/>
    <s v=""/>
    <s v=""/>
  </r>
  <r>
    <x v="21"/>
    <x v="3"/>
    <x v="21"/>
    <x v="1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1"/>
    <x v="3"/>
    <x v="21"/>
    <x v="2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1"/>
    <x v="3"/>
    <x v="21"/>
    <x v="3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1"/>
    <x v="3"/>
    <x v="21"/>
    <x v="4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2"/>
    <x v="3"/>
    <x v="22"/>
    <x v="0"/>
    <x v="0"/>
    <m/>
    <m/>
    <x v="0"/>
    <m/>
    <m/>
    <m/>
    <d v="1899-12-30T00:00:00"/>
    <n v="0"/>
    <n v="5"/>
    <n v="1"/>
    <n v="0"/>
    <m/>
    <m/>
    <m/>
    <m/>
    <n v="0"/>
    <n v="0"/>
    <n v="1269.5000000000005"/>
    <n v="1299"/>
    <s v="0"/>
    <s v="0"/>
    <n v="0"/>
    <s v="0"/>
    <s v=""/>
    <s v=""/>
    <s v=""/>
  </r>
  <r>
    <x v="22"/>
    <x v="3"/>
    <x v="22"/>
    <x v="1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2"/>
    <x v="3"/>
    <x v="22"/>
    <x v="2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2"/>
    <x v="3"/>
    <x v="22"/>
    <x v="3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2"/>
    <x v="3"/>
    <x v="22"/>
    <x v="4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3"/>
    <x v="3"/>
    <x v="23"/>
    <x v="0"/>
    <x v="0"/>
    <m/>
    <m/>
    <x v="0"/>
    <m/>
    <m/>
    <m/>
    <d v="1899-12-30T00:00:00"/>
    <n v="0"/>
    <n v="5"/>
    <n v="1"/>
    <n v="0"/>
    <m/>
    <m/>
    <m/>
    <m/>
    <n v="0"/>
    <n v="0"/>
    <n v="1269.5000000000005"/>
    <n v="1299"/>
    <s v="0"/>
    <s v="0"/>
    <n v="0"/>
    <s v="0"/>
    <s v=""/>
    <s v=""/>
    <s v=""/>
  </r>
  <r>
    <x v="23"/>
    <x v="3"/>
    <x v="23"/>
    <x v="1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3"/>
    <x v="3"/>
    <x v="23"/>
    <x v="2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3"/>
    <x v="3"/>
    <x v="23"/>
    <x v="3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3"/>
    <x v="3"/>
    <x v="23"/>
    <x v="4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4"/>
    <x v="3"/>
    <x v="24"/>
    <x v="0"/>
    <x v="0"/>
    <m/>
    <m/>
    <x v="0"/>
    <m/>
    <m/>
    <m/>
    <d v="1899-12-30T00:00:00"/>
    <n v="0"/>
    <n v="5"/>
    <n v="1"/>
    <n v="0"/>
    <m/>
    <m/>
    <m/>
    <m/>
    <n v="0"/>
    <n v="0"/>
    <n v="1269.5000000000005"/>
    <n v="1299"/>
    <s v="0"/>
    <s v="0"/>
    <n v="0"/>
    <s v="0"/>
    <s v=""/>
    <s v=""/>
    <s v=""/>
  </r>
  <r>
    <x v="24"/>
    <x v="3"/>
    <x v="24"/>
    <x v="1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4"/>
    <x v="3"/>
    <x v="24"/>
    <x v="2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4"/>
    <x v="3"/>
    <x v="24"/>
    <x v="3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4"/>
    <x v="3"/>
    <x v="24"/>
    <x v="4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5"/>
    <x v="3"/>
    <x v="25"/>
    <x v="0"/>
    <x v="0"/>
    <m/>
    <m/>
    <x v="0"/>
    <m/>
    <m/>
    <m/>
    <d v="1899-12-30T00:00:00"/>
    <n v="0"/>
    <n v="5"/>
    <n v="1"/>
    <n v="0"/>
    <m/>
    <m/>
    <m/>
    <m/>
    <n v="0"/>
    <n v="0"/>
    <n v="1269.5000000000005"/>
    <n v="1299"/>
    <s v="0"/>
    <s v="0"/>
    <n v="0"/>
    <s v="0"/>
    <s v=""/>
    <s v=""/>
    <s v=""/>
  </r>
  <r>
    <x v="25"/>
    <x v="3"/>
    <x v="25"/>
    <x v="1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5"/>
    <x v="3"/>
    <x v="25"/>
    <x v="2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5"/>
    <x v="3"/>
    <x v="25"/>
    <x v="3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5"/>
    <x v="3"/>
    <x v="25"/>
    <x v="4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6"/>
    <x v="3"/>
    <x v="26"/>
    <x v="0"/>
    <x v="0"/>
    <m/>
    <m/>
    <x v="0"/>
    <m/>
    <m/>
    <m/>
    <d v="1899-12-30T00:00:00"/>
    <n v="0"/>
    <n v="5"/>
    <n v="1"/>
    <n v="0"/>
    <m/>
    <m/>
    <m/>
    <m/>
    <n v="0"/>
    <n v="0"/>
    <n v="1269.5000000000005"/>
    <n v="1299"/>
    <s v="0"/>
    <s v="0"/>
    <n v="0"/>
    <s v="0"/>
    <s v=""/>
    <s v=""/>
    <s v=""/>
  </r>
  <r>
    <x v="26"/>
    <x v="3"/>
    <x v="26"/>
    <x v="1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6"/>
    <x v="3"/>
    <x v="26"/>
    <x v="2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6"/>
    <x v="3"/>
    <x v="26"/>
    <x v="3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6"/>
    <x v="3"/>
    <x v="26"/>
    <x v="4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7"/>
    <x v="4"/>
    <x v="27"/>
    <x v="0"/>
    <x v="0"/>
    <m/>
    <m/>
    <x v="0"/>
    <m/>
    <m/>
    <m/>
    <d v="1899-12-30T00:00:00"/>
    <n v="0"/>
    <n v="5"/>
    <n v="1"/>
    <n v="0"/>
    <m/>
    <m/>
    <m/>
    <m/>
    <n v="0"/>
    <n v="0"/>
    <n v="1269.5000000000005"/>
    <n v="1299"/>
    <s v="0"/>
    <s v="0"/>
    <n v="0"/>
    <s v="0"/>
    <s v=""/>
    <s v=""/>
    <s v=""/>
  </r>
  <r>
    <x v="27"/>
    <x v="4"/>
    <x v="27"/>
    <x v="1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7"/>
    <x v="4"/>
    <x v="27"/>
    <x v="2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7"/>
    <x v="4"/>
    <x v="27"/>
    <x v="3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7"/>
    <x v="4"/>
    <x v="27"/>
    <x v="4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8"/>
    <x v="4"/>
    <x v="28"/>
    <x v="0"/>
    <x v="0"/>
    <m/>
    <m/>
    <x v="0"/>
    <m/>
    <m/>
    <m/>
    <d v="1899-12-30T00:00:00"/>
    <n v="0"/>
    <n v="5"/>
    <n v="1"/>
    <n v="0"/>
    <m/>
    <m/>
    <m/>
    <m/>
    <n v="0"/>
    <n v="0"/>
    <n v="1269.5000000000005"/>
    <n v="1299"/>
    <s v="0"/>
    <s v="0"/>
    <n v="0"/>
    <s v="0"/>
    <s v=""/>
    <s v=""/>
    <s v=""/>
  </r>
  <r>
    <x v="28"/>
    <x v="4"/>
    <x v="28"/>
    <x v="1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8"/>
    <x v="4"/>
    <x v="28"/>
    <x v="2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8"/>
    <x v="4"/>
    <x v="28"/>
    <x v="3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8"/>
    <x v="4"/>
    <x v="28"/>
    <x v="4"/>
    <x v="0"/>
    <m/>
    <m/>
    <x v="0"/>
    <m/>
    <m/>
    <m/>
    <d v="1899-12-30T00:00:00"/>
    <n v="0"/>
    <n v="5"/>
    <n v="1"/>
    <n v="0"/>
    <m/>
    <m/>
    <m/>
    <m/>
    <n v="0"/>
    <m/>
    <m/>
    <m/>
    <m/>
    <m/>
    <m/>
    <m/>
    <s v=""/>
    <s v=""/>
    <s v=""/>
  </r>
  <r>
    <x v="29"/>
    <x v="4"/>
    <x v="29"/>
    <x v="5"/>
    <x v="0"/>
    <m/>
    <m/>
    <x v="0"/>
    <m/>
    <m/>
    <m/>
    <d v="1899-12-30T00:00:00"/>
    <n v="0"/>
    <m/>
    <m/>
    <n v="0"/>
    <m/>
    <m/>
    <m/>
    <m/>
    <n v="0"/>
    <m/>
    <n v="1269.5000000000005"/>
    <n v="1299"/>
    <s v="0"/>
    <s v="0"/>
    <n v="0"/>
    <s v="0"/>
    <s v=""/>
    <s v=""/>
    <s v=""/>
  </r>
  <r>
    <x v="29"/>
    <x v="4"/>
    <x v="29"/>
    <x v="5"/>
    <x v="0"/>
    <m/>
    <m/>
    <x v="0"/>
    <m/>
    <m/>
    <m/>
    <d v="1899-12-30T00:00:00"/>
    <n v="0"/>
    <m/>
    <m/>
    <n v="0"/>
    <m/>
    <m/>
    <m/>
    <m/>
    <n v="0"/>
    <m/>
    <m/>
    <m/>
    <m/>
    <m/>
    <m/>
    <m/>
    <s v=""/>
    <s v=""/>
    <s v=""/>
  </r>
  <r>
    <x v="29"/>
    <x v="4"/>
    <x v="29"/>
    <x v="5"/>
    <x v="0"/>
    <m/>
    <m/>
    <x v="0"/>
    <m/>
    <m/>
    <m/>
    <d v="1899-12-30T00:00:00"/>
    <n v="0"/>
    <m/>
    <m/>
    <n v="0"/>
    <m/>
    <m/>
    <m/>
    <m/>
    <n v="0"/>
    <m/>
    <m/>
    <m/>
    <m/>
    <m/>
    <m/>
    <m/>
    <s v=""/>
    <s v=""/>
    <s v=""/>
  </r>
  <r>
    <x v="29"/>
    <x v="4"/>
    <x v="29"/>
    <x v="5"/>
    <x v="0"/>
    <m/>
    <m/>
    <x v="0"/>
    <m/>
    <m/>
    <m/>
    <d v="1899-12-30T00:00:00"/>
    <n v="0"/>
    <m/>
    <m/>
    <n v="0"/>
    <m/>
    <m/>
    <m/>
    <m/>
    <n v="0"/>
    <m/>
    <m/>
    <m/>
    <m/>
    <m/>
    <m/>
    <m/>
    <s v=""/>
    <s v=""/>
    <s v=""/>
  </r>
  <r>
    <x v="29"/>
    <x v="4"/>
    <x v="29"/>
    <x v="5"/>
    <x v="0"/>
    <m/>
    <m/>
    <x v="0"/>
    <m/>
    <m/>
    <m/>
    <d v="1899-12-30T00:00:00"/>
    <n v="0"/>
    <m/>
    <m/>
    <n v="0"/>
    <m/>
    <m/>
    <m/>
    <m/>
    <n v="0"/>
    <m/>
    <m/>
    <m/>
    <m/>
    <m/>
    <m/>
    <m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AC1F28-A1F5-455A-80AD-8F35A3211FB0}" name="7" cacheId="16" dataOnRows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6">
  <location ref="P168:Q170" firstHeaderRow="1" firstDataRow="1" firstDataCol="1" rowPageCount="1" colPageCount="1"/>
  <pivotFields count="31">
    <pivotField numFmtId="16" showAll="0">
      <items count="54">
        <item h="1" m="1" x="52"/>
        <item h="1" m="1" x="38"/>
        <item h="1" m="1" x="48"/>
        <item h="1" m="1" x="34"/>
        <item h="1" m="1" x="43"/>
        <item h="1" m="1" x="51"/>
        <item h="1" m="1" x="37"/>
        <item h="1" m="1" x="46"/>
        <item h="1" m="1" x="33"/>
        <item h="1" m="1" x="42"/>
        <item h="1" m="1" x="30"/>
        <item h="1" m="1" x="39"/>
        <item h="1" m="1" x="50"/>
        <item h="1" m="1" x="36"/>
        <item h="1" m="1" x="45"/>
        <item h="1" m="1" x="32"/>
        <item h="1" m="1" x="41"/>
        <item h="1" m="1" x="49"/>
        <item h="1" m="1" x="35"/>
        <item h="1" m="1" x="44"/>
        <item h="1" m="1" x="31"/>
        <item h="1" m="1" x="40"/>
        <item h="1" m="1" x="47"/>
        <item h="1" x="0"/>
        <item h="1" x="1"/>
        <item h="1" x="2"/>
        <item h="1" x="3"/>
        <item h="1" x="4"/>
        <item h="1" x="5"/>
        <item h="1" x="6"/>
        <item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t="default"/>
      </items>
    </pivotField>
    <pivotField axis="axisPage" multipleItemSelectionAllowed="1" showAll="0">
      <items count="10">
        <item m="1" x="8"/>
        <item m="1" x="6"/>
        <item m="1" x="5"/>
        <item m="1" x="7"/>
        <item x="0"/>
        <item x="1"/>
        <item x="2"/>
        <item x="3"/>
        <item x="4"/>
        <item t="default"/>
      </items>
    </pivotField>
    <pivotField numFmtId="168" showAll="0"/>
    <pivotField showAll="0"/>
    <pivotField axis="axisRow" showAll="0" sortType="ascending">
      <items count="4">
        <item m="1" x="2"/>
        <item x="1"/>
        <item h="1"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numFmtId="20" showAll="0"/>
    <pivotField numFmtId="165" showAll="0"/>
    <pivotField numFmtId="165" showAll="0"/>
    <pivotField showAll="0"/>
    <pivotField showAll="0"/>
    <pivotField showAll="0"/>
    <pivotField showAll="0"/>
    <pivotField showAll="0"/>
    <pivotField showAll="0"/>
    <pivotField dataField="1"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">
    <i>
      <x v="1"/>
    </i>
    <i t="grand">
      <x/>
    </i>
  </rowItems>
  <colItems count="1">
    <i/>
  </colItems>
  <pageFields count="1">
    <pageField fld="1" hier="-1"/>
  </pageFields>
  <dataFields count="1">
    <dataField name="Suma de CONSOLIDADO DE TODAS LAS OPERACIONES" fld="20" baseField="0" baseItem="0"/>
  </dataFields>
  <chartFormats count="2">
    <chartFormat chart="0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F9CD2B-13FC-4E78-A022-8D42DA124C64}" name="5" cacheId="1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5">
  <location ref="P50:R52" firstHeaderRow="0" firstDataRow="1" firstDataCol="1" rowPageCount="1" colPageCount="1"/>
  <pivotFields count="31">
    <pivotField axis="axisRow" numFmtId="16" showAll="0">
      <items count="54">
        <item h="1" m="1" x="52"/>
        <item h="1" m="1" x="38"/>
        <item h="1" m="1" x="48"/>
        <item h="1" m="1" x="34"/>
        <item h="1" m="1" x="43"/>
        <item h="1" m="1" x="51"/>
        <item h="1" m="1" x="37"/>
        <item h="1" m="1" x="46"/>
        <item h="1" m="1" x="33"/>
        <item h="1" m="1" x="42"/>
        <item h="1" m="1" x="50"/>
        <item h="1" m="1" x="36"/>
        <item h="1" m="1" x="45"/>
        <item h="1" m="1" x="32"/>
        <item h="1" m="1" x="41"/>
        <item h="1" m="1" x="49"/>
        <item h="1" m="1" x="35"/>
        <item h="1" m="1" x="44"/>
        <item h="1" m="1" x="31"/>
        <item h="1" m="1" x="40"/>
        <item h="1" m="1" x="47"/>
        <item h="1" m="1" x="30"/>
        <item h="1" m="1" x="39"/>
        <item h="1" x="0"/>
        <item h="1" x="1"/>
        <item h="1" x="2"/>
        <item h="1" x="3"/>
        <item h="1" x="4"/>
        <item h="1" x="5"/>
        <item h="1" x="6"/>
        <item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t="default"/>
      </items>
    </pivotField>
    <pivotField axis="axisPage" multipleItemSelectionAllowed="1" showAll="0">
      <items count="10">
        <item m="1" x="8"/>
        <item m="1" x="6"/>
        <item m="1" x="5"/>
        <item m="1" x="7"/>
        <item x="0"/>
        <item x="1"/>
        <item x="2"/>
        <item x="3"/>
        <item x="4"/>
        <item t="default"/>
      </items>
    </pivotField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0" showAll="0"/>
    <pivotField numFmtId="165" showAll="0"/>
    <pivotField numFmtId="165" showAll="0"/>
    <pivotField showAll="0"/>
    <pivotField showAll="0"/>
    <pivotField showAll="0"/>
    <pivotField showAll="0"/>
    <pivotField showAll="0"/>
    <pivotField showAll="0"/>
    <pivotField numFmtId="166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Suma de Total Cuenta Real" fld="22" baseField="0" baseItem="0"/>
    <dataField name="Suma de Cuenta mas Objetivo" fld="23" baseField="0" baseItem="0"/>
  </dataFields>
  <formats count="1">
    <format dxfId="427">
      <pivotArea outline="0" collapsedLevelsAreSubtotals="1" fieldPosition="0"/>
    </format>
  </formats>
  <chartFormats count="5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7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4" format="28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4" format="29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4" format="30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  <chartFormat chart="4" format="3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4" format="32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4" format="33">
      <pivotArea type="data" outline="0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chartFormat>
    <chartFormat chart="4" format="34">
      <pivotArea type="data" outline="0" fieldPosition="0">
        <references count="2">
          <reference field="4294967294" count="1" selected="0">
            <x v="1"/>
          </reference>
          <reference field="0" count="1" selected="0">
            <x v="6"/>
          </reference>
        </references>
      </pivotArea>
    </chartFormat>
    <chartFormat chart="4" format="35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4" format="36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4" format="3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3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4" format="3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4" format="40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4" format="41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4" format="42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4" format="43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4" format="44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4" format="45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4" format="46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4" format="47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4" format="48">
      <pivotArea type="data" outline="0" fieldPosition="0">
        <references count="2">
          <reference field="4294967294" count="1" selected="0">
            <x v="1"/>
          </reference>
          <reference field="0" count="1" selected="0">
            <x v="23"/>
          </reference>
        </references>
      </pivotArea>
    </chartFormat>
    <chartFormat chart="4" format="49">
      <pivotArea type="data" outline="0" fieldPosition="0">
        <references count="2">
          <reference field="4294967294" count="1" selected="0">
            <x v="1"/>
          </reference>
          <reference field="0" count="1" selected="0">
            <x v="24"/>
          </reference>
        </references>
      </pivotArea>
    </chartFormat>
    <chartFormat chart="4" format="50">
      <pivotArea type="data" outline="0" fieldPosition="0">
        <references count="2">
          <reference field="4294967294" count="1" selected="0">
            <x v="1"/>
          </reference>
          <reference field="0" count="1" selected="0">
            <x v="25"/>
          </reference>
        </references>
      </pivotArea>
    </chartFormat>
    <chartFormat chart="4" format="51">
      <pivotArea type="data" outline="0" fieldPosition="0">
        <references count="2">
          <reference field="4294967294" count="1" selected="0">
            <x v="1"/>
          </reference>
          <reference field="0" count="1" selected="0">
            <x v="26"/>
          </reference>
        </references>
      </pivotArea>
    </chartFormat>
    <chartFormat chart="4" format="52">
      <pivotArea type="data" outline="0" fieldPosition="0">
        <references count="2">
          <reference field="4294967294" count="1" selected="0">
            <x v="1"/>
          </reference>
          <reference field="0" count="1" selected="0">
            <x v="27"/>
          </reference>
        </references>
      </pivotArea>
    </chartFormat>
    <chartFormat chart="4" format="53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4" format="54">
      <pivotArea type="data" outline="0" fieldPosition="0">
        <references count="2">
          <reference field="4294967294" count="1" selected="0">
            <x v="1"/>
          </reference>
          <reference field="0" count="1" selected="0">
            <x v="30"/>
          </reference>
        </references>
      </pivotArea>
    </chartFormat>
    <chartFormat chart="4" format="55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4" format="56">
      <pivotArea type="data" outline="0" fieldPosition="0">
        <references count="2">
          <reference field="4294967294" count="1" selected="0">
            <x v="1"/>
          </reference>
          <reference field="0" count="1" selected="0">
            <x v="3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0F789B-8626-4635-9AC6-717B633FA041}" name="3" cacheId="1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H82:J84" firstHeaderRow="0" firstDataRow="1" firstDataCol="1" rowPageCount="1" colPageCount="1"/>
  <pivotFields count="31">
    <pivotField numFmtId="16" showAll="0">
      <items count="54">
        <item h="1" m="1" x="52"/>
        <item h="1" m="1" x="38"/>
        <item h="1" m="1" x="48"/>
        <item h="1" m="1" x="34"/>
        <item h="1" m="1" x="43"/>
        <item h="1" m="1" x="51"/>
        <item h="1" m="1" x="37"/>
        <item h="1" m="1" x="46"/>
        <item h="1" m="1" x="33"/>
        <item h="1" m="1" x="42"/>
        <item h="1" m="1" x="30"/>
        <item h="1" m="1" x="39"/>
        <item h="1" m="1" x="50"/>
        <item h="1" m="1" x="36"/>
        <item h="1" m="1" x="45"/>
        <item h="1" m="1" x="32"/>
        <item h="1" m="1" x="41"/>
        <item h="1" m="1" x="49"/>
        <item h="1" m="1" x="35"/>
        <item h="1" m="1" x="44"/>
        <item h="1" m="1" x="31"/>
        <item h="1" m="1" x="40"/>
        <item h="1" m="1" x="47"/>
        <item h="1" x="0"/>
        <item h="1" x="1"/>
        <item h="1" x="2"/>
        <item h="1" x="3"/>
        <item h="1" x="4"/>
        <item h="1" x="5"/>
        <item h="1" x="6"/>
        <item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t="default"/>
      </items>
    </pivotField>
    <pivotField axis="axisPage" multipleItemSelectionAllowed="1" showAll="0">
      <items count="10">
        <item m="1" x="8"/>
        <item m="1" x="6"/>
        <item m="1" x="5"/>
        <item m="1" x="7"/>
        <item x="0"/>
        <item x="1"/>
        <item x="2"/>
        <item x="3"/>
        <item x="4"/>
        <item t="default"/>
      </items>
    </pivotField>
    <pivotField axis="axisRow" numFmtId="168" showAll="0">
      <items count="54">
        <item m="1" x="52"/>
        <item m="1" x="38"/>
        <item m="1" x="48"/>
        <item m="1" x="34"/>
        <item m="1" x="43"/>
        <item m="1" x="51"/>
        <item m="1" x="37"/>
        <item m="1" x="46"/>
        <item m="1" x="33"/>
        <item m="1" x="42"/>
        <item m="1" x="50"/>
        <item m="1" x="36"/>
        <item m="1" x="45"/>
        <item m="1" x="32"/>
        <item m="1" x="41"/>
        <item m="1" x="49"/>
        <item m="1" x="35"/>
        <item m="1" x="44"/>
        <item m="1" x="31"/>
        <item m="1" x="40"/>
        <item m="1" x="47"/>
        <item m="1" x="30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20"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</pivotFields>
  <rowFields count="1">
    <field x="2"/>
  </rowFields>
  <rowItems count="2"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Suma de Total Positivo" fld="29" baseField="0" baseItem="2"/>
    <dataField name="Suma de Total Negativo" fld="30" baseField="0" baseItem="0"/>
  </dataFields>
  <chartFormats count="4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74E8FE-D966-4EF0-B103-1444433C771B}" name="6" cacheId="1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P123:V126" firstHeaderRow="1" firstDataRow="2" firstDataCol="1" rowPageCount="1" colPageCount="1"/>
  <pivotFields count="31">
    <pivotField numFmtId="16" showAll="0">
      <items count="54">
        <item h="1" m="1" x="52"/>
        <item h="1" m="1" x="38"/>
        <item h="1" m="1" x="48"/>
        <item h="1" m="1" x="34"/>
        <item h="1" m="1" x="43"/>
        <item h="1" m="1" x="51"/>
        <item h="1" m="1" x="37"/>
        <item h="1" m="1" x="46"/>
        <item h="1" m="1" x="33"/>
        <item h="1" m="1" x="42"/>
        <item h="1" m="1" x="30"/>
        <item h="1" m="1" x="39"/>
        <item h="1" m="1" x="50"/>
        <item h="1" m="1" x="36"/>
        <item h="1" m="1" x="45"/>
        <item h="1" m="1" x="32"/>
        <item h="1" m="1" x="41"/>
        <item h="1" m="1" x="49"/>
        <item h="1" m="1" x="35"/>
        <item h="1" m="1" x="44"/>
        <item h="1" m="1" x="31"/>
        <item h="1" m="1" x="40"/>
        <item h="1" m="1" x="47"/>
        <item h="1" x="0"/>
        <item h="1" x="1"/>
        <item h="1" x="2"/>
        <item h="1" x="3"/>
        <item h="1" x="4"/>
        <item h="1" x="5"/>
        <item h="1" x="6"/>
        <item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t="default"/>
      </items>
    </pivotField>
    <pivotField axis="axisPage" multipleItemSelectionAllowed="1" showAll="0">
      <items count="10">
        <item m="1" x="8"/>
        <item m="1" x="6"/>
        <item m="1" x="5"/>
        <item m="1" x="7"/>
        <item x="0"/>
        <item x="1"/>
        <item x="2"/>
        <item x="3"/>
        <item x="4"/>
        <item t="default"/>
      </items>
    </pivotField>
    <pivotField axis="axisRow" numFmtId="168" showAll="0">
      <items count="54">
        <item m="1" x="52"/>
        <item m="1" x="38"/>
        <item m="1" x="48"/>
        <item m="1" x="34"/>
        <item m="1" x="43"/>
        <item m="1" x="51"/>
        <item m="1" x="37"/>
        <item m="1" x="46"/>
        <item m="1" x="33"/>
        <item m="1" x="42"/>
        <item m="1" x="50"/>
        <item m="1" x="36"/>
        <item m="1" x="45"/>
        <item m="1" x="32"/>
        <item m="1" x="41"/>
        <item m="1" x="49"/>
        <item m="1" x="35"/>
        <item m="1" x="44"/>
        <item m="1" x="31"/>
        <item m="1" x="40"/>
        <item m="1" x="47"/>
        <item m="1" x="30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axis="axisCol" showAll="0">
      <items count="32">
        <item x="0"/>
        <item x="1"/>
        <item x="2"/>
        <item x="3"/>
        <item x="4"/>
        <item m="1" x="9"/>
        <item m="1" x="14"/>
        <item m="1" x="19"/>
        <item m="1" x="22"/>
        <item m="1" x="25"/>
        <item m="1" x="28"/>
        <item m="1" x="30"/>
        <item m="1" x="6"/>
        <item m="1" x="7"/>
        <item m="1" x="8"/>
        <item m="1" x="10"/>
        <item m="1" x="11"/>
        <item m="1" x="12"/>
        <item m="1" x="13"/>
        <item m="1" x="15"/>
        <item m="1" x="16"/>
        <item m="1" x="17"/>
        <item m="1" x="18"/>
        <item m="1" x="20"/>
        <item m="1" x="21"/>
        <item m="1" x="23"/>
        <item m="1" x="24"/>
        <item m="1" x="26"/>
        <item m="1" x="27"/>
        <item m="1" x="29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numFmtId="20" showAll="0"/>
    <pivotField numFmtId="165" showAll="0"/>
    <pivotField numFmtId="165" showAll="0"/>
    <pivotField showAll="0"/>
    <pivotField showAll="0"/>
    <pivotField showAll="0"/>
    <pivotField showAll="0"/>
    <pivotField showAll="0"/>
    <pivotField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">
    <i>
      <x v="30"/>
    </i>
    <i t="grand">
      <x/>
    </i>
  </rowItems>
  <colFields count="1">
    <field x="3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1" hier="-1"/>
  </pageFields>
  <dataFields count="1">
    <dataField name="Suma de TIEMPO DE VUELO" fld="11" baseField="2" baseItem="0" numFmtId="20"/>
  </dataFields>
  <formats count="1">
    <format dxfId="428">
      <pivotArea outline="0" collapsedLevelsAreSubtotals="1" fieldPosition="0"/>
    </format>
  </formats>
  <chartFormats count="7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2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  <chartFormat chart="2" format="3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2"/>
          </reference>
        </references>
      </pivotArea>
    </chartFormat>
    <chartFormat chart="2" format="3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3"/>
          </reference>
        </references>
      </pivotArea>
    </chartFormat>
    <chartFormat chart="2" format="4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4"/>
          </reference>
        </references>
      </pivotArea>
    </chartFormat>
    <chartFormat chart="2" format="4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5"/>
          </reference>
        </references>
      </pivotArea>
    </chartFormat>
    <chartFormat chart="2" format="4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6"/>
          </reference>
        </references>
      </pivotArea>
    </chartFormat>
    <chartFormat chart="2" format="4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7"/>
          </reference>
        </references>
      </pivotArea>
    </chartFormat>
    <chartFormat chart="2" format="4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8"/>
          </reference>
        </references>
      </pivotArea>
    </chartFormat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9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0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1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2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3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4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5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6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7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8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9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2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3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4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5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6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7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8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9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0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1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2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3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4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5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6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7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8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EB9FA6-C2A4-42F2-9EF8-670CFFA0DF1E}" name="TablaDinámica1" cacheId="1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H130:I131" firstHeaderRow="1" firstDataRow="1" firstDataCol="1" rowPageCount="2" colPageCount="1"/>
  <pivotFields count="31">
    <pivotField axis="axisPage" numFmtId="16" multipleItemSelectionAllowed="1" showAll="0">
      <items count="54">
        <item h="1" m="1" x="52"/>
        <item h="1" m="1" x="38"/>
        <item h="1" m="1" x="48"/>
        <item h="1" m="1" x="34"/>
        <item h="1" m="1" x="43"/>
        <item h="1" m="1" x="51"/>
        <item h="1" m="1" x="37"/>
        <item h="1" m="1" x="46"/>
        <item h="1" m="1" x="33"/>
        <item h="1" m="1" x="42"/>
        <item h="1" m="1" x="50"/>
        <item h="1" m="1" x="36"/>
        <item h="1" m="1" x="45"/>
        <item h="1" m="1" x="32"/>
        <item h="1" m="1" x="41"/>
        <item h="1" m="1" x="49"/>
        <item h="1" m="1" x="35"/>
        <item h="1" m="1" x="44"/>
        <item h="1" m="1" x="31"/>
        <item h="1" m="1" x="40"/>
        <item h="1" m="1" x="47"/>
        <item h="1" m="1" x="30"/>
        <item h="1" m="1" x="39"/>
        <item h="1" x="0"/>
        <item h="1" x="1"/>
        <item h="1" x="2"/>
        <item h="1" x="3"/>
        <item h="1" x="4"/>
        <item h="1" x="5"/>
        <item h="1" x="6"/>
        <item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t="default"/>
      </items>
    </pivotField>
    <pivotField axis="axisPage" multipleItemSelectionAllowed="1" showAll="0">
      <items count="10">
        <item m="1" x="8"/>
        <item m="1" x="6"/>
        <item m="1" x="5"/>
        <item m="1" x="7"/>
        <item x="0"/>
        <item x="1"/>
        <item x="2"/>
        <item x="3"/>
        <item x="4"/>
        <item t="default"/>
      </items>
    </pivotField>
    <pivotField numFmtId="169" showAll="0"/>
    <pivotField showAll="0"/>
    <pivotField showAll="0"/>
    <pivotField showAll="0"/>
    <pivotField showAll="0"/>
    <pivotField axis="axisRow" showAll="0">
      <items count="7">
        <item m="1" x="4"/>
        <item m="1" x="3"/>
        <item x="2"/>
        <item m="1" x="5"/>
        <item h="1" x="0"/>
        <item h="1" x="1"/>
        <item t="default"/>
      </items>
    </pivotField>
    <pivotField showAll="0"/>
    <pivotField showAll="0"/>
    <pivotField showAll="0"/>
    <pivotField numFmtId="20" showAll="0"/>
    <pivotField numFmtId="165" showAll="0"/>
    <pivotField numFmtId="165"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1">
    <i t="grand">
      <x/>
    </i>
  </rowItems>
  <colItems count="1">
    <i/>
  </colItems>
  <pageFields count="2">
    <pageField fld="0" hier="-1"/>
    <pageField fld="1" hier="-1"/>
  </pageFields>
  <dataFields count="1">
    <dataField name="Suma de CONSOLIDADO DE TODAS LAS OPERACIONES" fld="20" baseField="0" baseItem="0"/>
  </dataFields>
  <chartFormats count="2">
    <chartFormat chart="2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4F97BA-8833-4D70-95F7-1C13334D5F29}" name="2" cacheId="1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H49:J51" firstHeaderRow="0" firstDataRow="1" firstDataCol="1" rowPageCount="1" colPageCount="1"/>
  <pivotFields count="31">
    <pivotField axis="axisRow" numFmtId="16" showAll="0">
      <items count="54">
        <item h="1" m="1" x="52"/>
        <item h="1" m="1" x="38"/>
        <item h="1" m="1" x="48"/>
        <item h="1" m="1" x="34"/>
        <item h="1" m="1" x="43"/>
        <item h="1" m="1" x="51"/>
        <item h="1" m="1" x="37"/>
        <item h="1" m="1" x="46"/>
        <item h="1" m="1" x="33"/>
        <item h="1" m="1" x="42"/>
        <item h="1" m="1" x="50"/>
        <item h="1" m="1" x="36"/>
        <item h="1" m="1" x="45"/>
        <item h="1" m="1" x="32"/>
        <item h="1" m="1" x="41"/>
        <item h="1" m="1" x="49"/>
        <item h="1" m="1" x="35"/>
        <item h="1" m="1" x="44"/>
        <item h="1" m="1" x="31"/>
        <item h="1" m="1" x="40"/>
        <item h="1" m="1" x="47"/>
        <item h="1" m="1" x="30"/>
        <item h="1" m="1" x="39"/>
        <item h="1" x="0"/>
        <item h="1" x="1"/>
        <item h="1" x="2"/>
        <item h="1" x="3"/>
        <item h="1" x="4"/>
        <item h="1" x="5"/>
        <item h="1" x="6"/>
        <item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t="default"/>
      </items>
    </pivotField>
    <pivotField axis="axisPage" multipleItemSelectionAllowed="1" showAll="0">
      <items count="10">
        <item m="1" x="8"/>
        <item m="1" x="6"/>
        <item m="1" x="5"/>
        <item m="1" x="7"/>
        <item x="0"/>
        <item x="1"/>
        <item x="2"/>
        <item x="3"/>
        <item x="4"/>
        <item t="default"/>
      </items>
    </pivotField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0"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numFmtId="166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</pivotFields>
  <rowFields count="1">
    <field x="0"/>
  </rowFields>
  <rowItems count="2"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Suma de PF" fld="26" baseField="0" baseItem="0"/>
    <dataField name="Suma de AB" fld="27" baseField="0" baseItem="0" numFmtId="9"/>
  </dataFields>
  <formats count="3">
    <format dxfId="431">
      <pivotArea outline="0" collapsedLevelsAreSubtotals="1" fieldPosition="0"/>
    </format>
    <format dxfId="430">
      <pivotArea collapsedLevelsAreSubtotals="1" fieldPosition="0">
        <references count="2">
          <reference field="4294967294" count="1" selected="0">
            <x v="1"/>
          </reference>
          <reference field="0" count="5">
            <x v="0"/>
            <x v="1"/>
            <x v="2"/>
            <x v="3"/>
            <x v="4"/>
          </reference>
        </references>
      </pivotArea>
    </format>
    <format dxfId="4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43751F-4838-4214-8A69-64427AEDDD07}" name="1" cacheId="1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4">
  <location ref="H3:I5" firstHeaderRow="1" firstDataRow="1" firstDataCol="1" rowPageCount="1" colPageCount="1"/>
  <pivotFields count="31">
    <pivotField axis="axisRow" numFmtId="16" showAll="0">
      <items count="54">
        <item h="1" m="1" x="52"/>
        <item h="1" m="1" x="38"/>
        <item h="1" m="1" x="48"/>
        <item h="1" m="1" x="34"/>
        <item h="1" m="1" x="43"/>
        <item h="1" m="1" x="51"/>
        <item h="1" m="1" x="37"/>
        <item h="1" m="1" x="46"/>
        <item h="1" m="1" x="33"/>
        <item h="1" m="1" x="42"/>
        <item h="1" m="1" x="50"/>
        <item h="1" m="1" x="36"/>
        <item h="1" m="1" x="45"/>
        <item h="1" m="1" x="32"/>
        <item h="1" m="1" x="41"/>
        <item h="1" m="1" x="49"/>
        <item h="1" m="1" x="35"/>
        <item h="1" m="1" x="44"/>
        <item h="1" m="1" x="31"/>
        <item h="1" m="1" x="40"/>
        <item h="1" m="1" x="47"/>
        <item h="1" m="1" x="30"/>
        <item h="1" m="1" x="39"/>
        <item h="1" x="0"/>
        <item h="1" x="1"/>
        <item h="1" x="2"/>
        <item h="1" x="3"/>
        <item h="1" x="4"/>
        <item h="1" x="5"/>
        <item h="1" x="6"/>
        <item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t="default"/>
      </items>
    </pivotField>
    <pivotField axis="axisPage" multipleItemSelectionAllowed="1" showAll="0">
      <items count="10">
        <item m="1" x="8"/>
        <item m="1" x="6"/>
        <item m="1" x="5"/>
        <item m="1" x="7"/>
        <item x="0"/>
        <item x="1"/>
        <item x="2"/>
        <item x="3"/>
        <item x="4"/>
        <item t="default"/>
      </items>
    </pivotField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0"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numFmtId="166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 v="30"/>
    </i>
    <i t="grand">
      <x/>
    </i>
  </rowItems>
  <colItems count="1">
    <i/>
  </colItems>
  <pageFields count="1">
    <pageField fld="1" hier="-1"/>
  </pageFields>
  <dataFields count="1">
    <dataField name="Suma de RESULTADO DEL DÍA" fld="21" baseField="0" baseItem="0"/>
  </dataFields>
  <formats count="6">
    <format dxfId="437">
      <pivotArea type="all" dataOnly="0" outline="0" fieldPosition="0"/>
    </format>
    <format dxfId="436">
      <pivotArea outline="0" collapsedLevelsAreSubtotals="1" fieldPosition="0"/>
    </format>
    <format dxfId="435">
      <pivotArea field="0" type="button" dataOnly="0" labelOnly="1" outline="0" axis="axisRow" fieldPosition="0"/>
    </format>
    <format dxfId="434">
      <pivotArea dataOnly="0" labelOnly="1" fieldPosition="0">
        <references count="1">
          <reference field="0" count="5">
            <x v="0"/>
            <x v="1"/>
            <x v="2"/>
            <x v="3"/>
            <x v="4"/>
          </reference>
        </references>
      </pivotArea>
    </format>
    <format dxfId="433">
      <pivotArea dataOnly="0" labelOnly="1" grandRow="1" outline="0" fieldPosition="0"/>
    </format>
    <format dxfId="432">
      <pivotArea dataOnly="0" labelOnly="1" outline="0" axis="axisValues" fieldPosition="0"/>
    </format>
  </format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F4DFCA-C298-4B94-B924-7B6FC4743CBB}" name="4" cacheId="1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P2:Q8" firstHeaderRow="1" firstDataRow="1" firstDataCol="1"/>
  <pivotFields count="31">
    <pivotField numFmtId="16" showAll="0"/>
    <pivotField axis="axisRow" showAll="0">
      <items count="10">
        <item m="1" x="8"/>
        <item m="1" x="6"/>
        <item m="1" x="5"/>
        <item m="1" x="7"/>
        <item x="0"/>
        <item x="1"/>
        <item x="2"/>
        <item x="3"/>
        <item x="4"/>
        <item t="default"/>
      </items>
    </pivotField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0" showAll="0"/>
    <pivotField numFmtId="165" showAll="0"/>
    <pivotField numFmtId="165" showAll="0"/>
    <pivotField showAll="0"/>
    <pivotField showAll="0"/>
    <pivotField showAll="0"/>
    <pivotField showAll="0"/>
    <pivotField showAll="0"/>
    <pivotField showAll="0"/>
    <pivotField numFmtId="166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"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a de RESULTADO DEL DÍA" fld="21" baseField="0" baseItem="0"/>
  </dataFields>
  <formats count="1">
    <format dxfId="438">
      <pivotArea outline="0" collapsedLevelsAreSubtotals="1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EMANA" xr10:uid="{9B809FD3-2472-4A4D-84BC-4B8541B07E21}" sourceName="SEMANA">
  <pivotTables>
    <pivotTable tabId="6" name="1"/>
    <pivotTable tabId="6" name="2"/>
    <pivotTable tabId="6" name="5"/>
    <pivotTable tabId="6" name="3"/>
    <pivotTable tabId="6" name="7"/>
    <pivotTable tabId="6" name="6"/>
    <pivotTable tabId="6" name="TablaDinámica1"/>
  </pivotTables>
  <data>
    <tabular pivotCacheId="1775792">
      <items count="9">
        <i x="1" s="1"/>
        <i x="8" s="1" nd="1"/>
        <i x="6" s="1" nd="1"/>
        <i x="5" s="1" nd="1"/>
        <i x="7" s="1" nd="1"/>
        <i x="0" s="1" nd="1"/>
        <i x="2" s="1" nd="1"/>
        <i x="3" s="1" nd="1"/>
        <i x="4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" xr10:uid="{FB0F9CBD-2B46-44AE-B352-85E168B518D8}" sourceName="FECHA">
  <pivotTables>
    <pivotTable tabId="6" name="1"/>
    <pivotTable tabId="6" name="2"/>
    <pivotTable tabId="6" name="6"/>
    <pivotTable tabId="6" name="7"/>
    <pivotTable tabId="6" name="3"/>
    <pivotTable tabId="6" name="TablaDinámica1"/>
    <pivotTable tabId="6" name="5"/>
  </pivotTables>
  <data>
    <tabular pivotCacheId="1775792">
      <items count="53">
        <i x="0"/>
        <i x="1"/>
        <i x="2"/>
        <i x="3"/>
        <i x="4"/>
        <i x="5"/>
        <i x="6"/>
        <i x="7" s="1"/>
        <i x="8"/>
        <i x="9"/>
        <i x="10"/>
        <i x="11"/>
        <i x="12"/>
        <i x="13"/>
        <i x="14"/>
        <i x="15"/>
        <i x="16"/>
        <i x="17"/>
        <i x="18"/>
        <i x="19"/>
        <i x="20"/>
        <i x="21"/>
        <i x="22"/>
        <i x="23"/>
        <i x="24"/>
        <i x="25"/>
        <i x="26"/>
        <i x="27"/>
        <i x="28"/>
        <i x="29"/>
        <i x="52" nd="1"/>
        <i x="38" nd="1"/>
        <i x="48" nd="1"/>
        <i x="34" nd="1"/>
        <i x="43" nd="1"/>
        <i x="51" nd="1"/>
        <i x="37" nd="1"/>
        <i x="46" nd="1"/>
        <i x="33" nd="1"/>
        <i x="42" nd="1"/>
        <i x="30" nd="1"/>
        <i x="39" nd="1"/>
        <i x="50" nd="1"/>
        <i x="36" nd="1"/>
        <i x="45" nd="1"/>
        <i x="32" nd="1"/>
        <i x="41" nd="1"/>
        <i x="49" nd="1"/>
        <i x="35" nd="1"/>
        <i x="44" nd="1"/>
        <i x="31" nd="1"/>
        <i x="40" nd="1"/>
        <i x="47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EMANA" xr10:uid="{48D0E4C9-3A6F-40F1-BBE5-8243B3B5E30E}" cache="SegmentaciónDeDatos_SEMANA" caption="SEMANA" style="formato2" rowHeight="241300"/>
  <slicer name="FECHA" xr10:uid="{0DDDE170-6048-41A2-A875-657BDE91008E}" cache="SegmentaciónDeDatos_FECHA" caption="FECHA" startItem="2" style="formato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B23778-759A-40D2-BFF1-925EC9AC0EB7}" name="Tabla1" displayName="Tabla1" ref="A1:AE151" totalsRowShown="0" headerRowDxfId="32" dataDxfId="31">
  <autoFilter ref="A1:AE151" xr:uid="{668DC7D1-AC61-4CDE-B763-CC16CDB1C197}"/>
  <tableColumns count="31">
    <tableColumn id="1" xr3:uid="{1650BCB9-7DF7-4B43-836B-C54919F4D115}" name="FECHA" dataDxfId="30">
      <calculatedColumnFormula>+A1</calculatedColumnFormula>
    </tableColumn>
    <tableColumn id="2" xr3:uid="{2FBFEE62-8D0F-4BBE-B6C9-BB2B50173EAA}" name="SEMANA" dataDxfId="29">
      <calculatedColumnFormula>+B1</calculatedColumnFormula>
    </tableColumn>
    <tableColumn id="3" xr3:uid="{A0BF9C40-A3C4-4B77-8993-115AE46A463B}" name="DÍAS" dataDxfId="28">
      <calculatedColumnFormula>+A2</calculatedColumnFormula>
    </tableColumn>
    <tableColumn id="4" xr3:uid="{A9528993-D810-4C74-AD99-92D4B3139369}" name="N°" dataDxfId="27"/>
    <tableColumn id="5" xr3:uid="{75807E6B-1792-46AF-9EC9-0E575CF695A9}" name="TIPO DE OPERACIÓN" dataDxfId="26"/>
    <tableColumn id="6" xr3:uid="{6ECC6846-7C7C-42F5-B2A0-BC6F0ACD274D}" name="HORA DE APERTURA" dataDxfId="25"/>
    <tableColumn id="7" xr3:uid="{F7440319-533A-42D5-A891-A8DDB96B64C1}" name="PRECIO DE ENTRADA" dataDxfId="24"/>
    <tableColumn id="8" xr3:uid="{0400973A-6490-487F-B058-ED0CAD48A8AC}" name="ENTRY STRATEGY" dataDxfId="23"/>
    <tableColumn id="9" xr3:uid="{BC88C172-0C92-4A18-AF82-835D72FB086E}" name="HORA DE SALIDA" dataDxfId="22"/>
    <tableColumn id="10" xr3:uid="{5F67CB7A-7379-46ED-8355-5B67F736DDA0}" name="PRECIO DE SALIDA" dataDxfId="21"/>
    <tableColumn id="11" xr3:uid="{6CACC758-7DF0-4065-B61C-A93E00036500}" name="EXIT REASON" dataDxfId="20"/>
    <tableColumn id="12" xr3:uid="{54EA3A7D-3877-474C-8C1B-09512C175A90}" name="TIEMPO DE VUELO" dataDxfId="19">
      <calculatedColumnFormula>+I2-F2</calculatedColumnFormula>
    </tableColumn>
    <tableColumn id="13" xr3:uid="{81E7C714-3C30-4078-A8BC-101EB8F99D46}" name="DIFERENCIA EN MONEDA" dataDxfId="18">
      <calculatedColumnFormula>+IF(E2="buy",J2-G2,G2-J2)</calculatedColumnFormula>
    </tableColumn>
    <tableColumn id="14" xr3:uid="{EDA997B3-8EFF-49EA-A772-52B666E75750}" name="FACTOR _x000a_CONT.MICRO" dataDxfId="17"/>
    <tableColumn id="15" xr3:uid="{B7C2879B-6913-400D-95A9-FC13EE104C35}" name="N° CONTRATOS" dataDxfId="16"/>
    <tableColumn id="16" xr3:uid="{6A506A52-AF10-4D0B-97AC-F7E109AA0CA6}" name="Comision" dataDxfId="15">
      <calculatedColumnFormula>+IF(J2&gt;0,O2*1,0)</calculatedColumnFormula>
    </tableColumn>
    <tableColumn id="17" xr3:uid="{EB583CE9-3ADD-426A-9389-F64BCE50707E}" name="FC" dataDxfId="14"/>
    <tableColumn id="18" xr3:uid="{3FEEE1BB-78C3-4EE1-8E32-7D8690F7758B}" name="FR" dataDxfId="13"/>
    <tableColumn id="19" xr3:uid="{0C375443-D66D-4B40-B85A-EEA19B48D7EE}" name="NE" dataDxfId="12"/>
    <tableColumn id="20" xr3:uid="{05F0221A-73A0-41C2-8EFF-EB5DC7F1524C}" name="BS" dataDxfId="11"/>
    <tableColumn id="21" xr3:uid="{312F2E6D-F353-416E-889D-4C71EA7A9749}" name="CONSOLIDADO DE TODAS LAS OPERACIONES" dataDxfId="10">
      <calculatedColumnFormula>+O2*N2*M2-P2</calculatedColumnFormula>
    </tableColumn>
    <tableColumn id="22" xr3:uid="{E204FF1F-1440-4395-AEAE-64074F3BA4CC}" name="RESULTADO DEL DÍA" dataDxfId="9"/>
    <tableColumn id="33" xr3:uid="{15E4A9F4-5411-4A6C-858C-53417454EDB5}" name="Total Cuenta Real" dataDxfId="8">
      <calculatedColumnFormula>2584+Tabla1[[#This Row],[RESULTADO DEL DÍA]]</calculatedColumnFormula>
    </tableColumn>
    <tableColumn id="32" xr3:uid="{E0F33C4A-A35E-4200-A46F-95F97894DBC8}" name="Cuenta mas Objetivo" dataDxfId="7"/>
    <tableColumn id="34" xr3:uid="{B4609C8F-CC3E-4FAB-B4B1-FA6554A64505}" name="Perdidad  presupuestada" dataDxfId="6">
      <calculatedColumnFormula>1650*0.02</calculatedColumnFormula>
    </tableColumn>
    <tableColumn id="31" xr3:uid="{3FCCF4C0-4642-4F3C-920A-6A04C95B7C42}" name="Objetivo presupuestado" dataDxfId="5">
      <calculatedColumnFormula>1650*0.03</calculatedColumnFormula>
    </tableColumn>
    <tableColumn id="24" xr3:uid="{A04FEC93-F863-4DB6-9715-FBC0A95C4351}" name="PF" dataDxfId="4"/>
    <tableColumn id="25" xr3:uid="{A0DD84F1-335A-4F7A-9016-DDA25A3D6B73}" name="AB" dataDxfId="3"/>
    <tableColumn id="27" xr3:uid="{A9903BC2-E6AF-4773-B7FC-5A230679EDD3}" name="Cuenta N° de Operaciones" dataDxfId="2">
      <calculatedColumnFormula>+IF(G2&gt;0,1,"")</calculatedColumnFormula>
    </tableColumn>
    <tableColumn id="28" xr3:uid="{44591FD6-C9AB-40F1-874F-376C24AFD943}" name="Total Positivo" dataDxfId="1">
      <calculatedColumnFormula>+IF(M2&gt;0,M2,"")</calculatedColumnFormula>
    </tableColumn>
    <tableColumn id="29" xr3:uid="{30D8BC1C-D097-415B-926C-6B0122557182}" name="Total Negativo" dataDxfId="0">
      <calculatedColumnFormula>+IF(M2&lt;0,M2,"")</calculatedColumnFormula>
    </tableColumn>
  </tableColumns>
  <tableStyleInfo name="TableStyleDark11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drawing" Target="../drawings/drawing1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07/relationships/slicer" Target="../slicers/slicer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BD182-EAA2-4666-828B-2FC1F84F51CE}">
  <sheetPr codeName="Hoja1"/>
  <dimension ref="H1:AU216"/>
  <sheetViews>
    <sheetView topLeftCell="A127" zoomScale="40" zoomScaleNormal="40" workbookViewId="0">
      <selection activeCell="I85" sqref="I85"/>
    </sheetView>
  </sheetViews>
  <sheetFormatPr baseColWidth="10" defaultColWidth="11" defaultRowHeight="14" x14ac:dyDescent="0.3"/>
  <cols>
    <col min="1" max="7" width="11" style="44"/>
    <col min="8" max="8" width="21.75" style="44" bestFit="1" customWidth="1"/>
    <col min="9" max="9" width="30.75" style="44" bestFit="1" customWidth="1"/>
    <col min="10" max="10" width="12.58203125" style="44" bestFit="1" customWidth="1"/>
    <col min="11" max="13" width="5.83203125" style="44" bestFit="1" customWidth="1"/>
    <col min="14" max="14" width="12.58203125" style="44" bestFit="1" customWidth="1"/>
    <col min="15" max="15" width="41.08203125" style="44" customWidth="1"/>
    <col min="16" max="16" width="21.75" style="44" bestFit="1" customWidth="1"/>
    <col min="17" max="17" width="30.75" style="44" bestFit="1" customWidth="1"/>
    <col min="18" max="21" width="5.08203125" style="44" bestFit="1" customWidth="1"/>
    <col min="22" max="22" width="13.6640625" style="44" bestFit="1" customWidth="1"/>
    <col min="23" max="23" width="6.75" style="44" bestFit="1" customWidth="1"/>
    <col min="24" max="24" width="15.58203125" style="44" bestFit="1" customWidth="1"/>
    <col min="25" max="33" width="6.75" style="44" bestFit="1" customWidth="1"/>
    <col min="34" max="35" width="6.25" style="44" bestFit="1" customWidth="1"/>
    <col min="36" max="36" width="6.75" style="44" bestFit="1" customWidth="1"/>
    <col min="37" max="37" width="6.5" style="44" bestFit="1" customWidth="1"/>
    <col min="38" max="38" width="6.25" style="44" bestFit="1" customWidth="1"/>
    <col min="39" max="39" width="6.75" style="44" bestFit="1" customWidth="1"/>
    <col min="40" max="40" width="6.25" style="44" bestFit="1" customWidth="1"/>
    <col min="41" max="41" width="6.75" style="44" bestFit="1" customWidth="1"/>
    <col min="42" max="43" width="6.25" style="44" bestFit="1" customWidth="1"/>
    <col min="44" max="46" width="6.75" style="44" bestFit="1" customWidth="1"/>
    <col min="47" max="47" width="15.58203125" style="44" bestFit="1" customWidth="1"/>
    <col min="48" max="16384" width="11" style="44"/>
  </cols>
  <sheetData>
    <row r="1" spans="8:18" x14ac:dyDescent="0.3">
      <c r="H1" s="44" t="s">
        <v>21</v>
      </c>
      <c r="I1" s="44" t="s">
        <v>75</v>
      </c>
    </row>
    <row r="2" spans="8:18" x14ac:dyDescent="0.3">
      <c r="P2" s="41" t="s">
        <v>31</v>
      </c>
      <c r="Q2" t="s">
        <v>33</v>
      </c>
      <c r="R2"/>
    </row>
    <row r="3" spans="8:18" x14ac:dyDescent="0.3">
      <c r="H3" s="44" t="s">
        <v>31</v>
      </c>
      <c r="I3" s="44" t="s">
        <v>33</v>
      </c>
      <c r="J3"/>
      <c r="K3"/>
      <c r="L3"/>
      <c r="M3"/>
      <c r="N3"/>
      <c r="P3" s="5">
        <v>36</v>
      </c>
      <c r="Q3" s="3">
        <v>0</v>
      </c>
      <c r="R3"/>
    </row>
    <row r="4" spans="8:18" x14ac:dyDescent="0.3">
      <c r="H4" s="45">
        <v>44082</v>
      </c>
      <c r="I4" s="46">
        <v>76.999999999999773</v>
      </c>
      <c r="J4"/>
      <c r="K4"/>
      <c r="L4"/>
      <c r="M4"/>
      <c r="N4"/>
      <c r="P4" s="5">
        <v>37</v>
      </c>
      <c r="Q4" s="3">
        <v>70.500000000000455</v>
      </c>
      <c r="R4"/>
    </row>
    <row r="5" spans="8:18" x14ac:dyDescent="0.3">
      <c r="H5" s="45" t="s">
        <v>32</v>
      </c>
      <c r="I5" s="46">
        <v>76.999999999999773</v>
      </c>
      <c r="J5"/>
      <c r="K5"/>
      <c r="L5"/>
      <c r="M5"/>
      <c r="N5"/>
      <c r="P5" s="5">
        <v>38</v>
      </c>
      <c r="Q5" s="3">
        <v>0</v>
      </c>
      <c r="R5"/>
    </row>
    <row r="6" spans="8:18" x14ac:dyDescent="0.3">
      <c r="H6"/>
      <c r="I6"/>
      <c r="J6"/>
      <c r="K6"/>
      <c r="L6"/>
      <c r="M6"/>
      <c r="N6"/>
      <c r="P6" s="5">
        <v>39</v>
      </c>
      <c r="Q6" s="3">
        <v>0</v>
      </c>
      <c r="R6"/>
    </row>
    <row r="7" spans="8:18" x14ac:dyDescent="0.3">
      <c r="H7"/>
      <c r="I7"/>
      <c r="J7"/>
      <c r="P7" s="5">
        <v>40</v>
      </c>
      <c r="Q7" s="3">
        <v>0</v>
      </c>
      <c r="R7"/>
    </row>
    <row r="8" spans="8:18" x14ac:dyDescent="0.3">
      <c r="H8"/>
      <c r="I8"/>
      <c r="J8"/>
      <c r="P8" s="5" t="s">
        <v>32</v>
      </c>
      <c r="Q8" s="3">
        <v>70.500000000000455</v>
      </c>
      <c r="R8"/>
    </row>
    <row r="9" spans="8:18" x14ac:dyDescent="0.3">
      <c r="H9"/>
      <c r="I9"/>
      <c r="J9"/>
      <c r="P9"/>
      <c r="Q9"/>
      <c r="R9"/>
    </row>
    <row r="10" spans="8:18" x14ac:dyDescent="0.3">
      <c r="H10"/>
      <c r="I10"/>
      <c r="J10"/>
      <c r="P10"/>
      <c r="Q10"/>
      <c r="R10"/>
    </row>
    <row r="11" spans="8:18" x14ac:dyDescent="0.3">
      <c r="H11"/>
      <c r="I11"/>
      <c r="J11"/>
      <c r="P11"/>
      <c r="Q11"/>
      <c r="R11"/>
    </row>
    <row r="12" spans="8:18" x14ac:dyDescent="0.3">
      <c r="H12"/>
      <c r="I12"/>
      <c r="J12"/>
      <c r="P12"/>
      <c r="Q12"/>
      <c r="R12"/>
    </row>
    <row r="13" spans="8:18" x14ac:dyDescent="0.3">
      <c r="H13"/>
      <c r="I13"/>
      <c r="J13"/>
      <c r="P13" s="1"/>
      <c r="Q13" s="1"/>
      <c r="R13" s="1"/>
    </row>
    <row r="14" spans="8:18" x14ac:dyDescent="0.3">
      <c r="H14"/>
      <c r="I14"/>
      <c r="J14"/>
      <c r="P14" s="1"/>
      <c r="Q14" s="1"/>
      <c r="R14" s="1"/>
    </row>
    <row r="15" spans="8:18" x14ac:dyDescent="0.3">
      <c r="H15"/>
      <c r="I15"/>
      <c r="J15"/>
      <c r="P15" s="1"/>
      <c r="Q15" s="1"/>
      <c r="R15" s="1"/>
    </row>
    <row r="16" spans="8:18" x14ac:dyDescent="0.3">
      <c r="H16"/>
      <c r="I16"/>
      <c r="J16"/>
      <c r="P16" s="1"/>
      <c r="Q16" s="1"/>
      <c r="R16" s="1"/>
    </row>
    <row r="17" spans="8:18" x14ac:dyDescent="0.3">
      <c r="H17"/>
      <c r="I17"/>
      <c r="J17"/>
      <c r="P17" s="1"/>
      <c r="Q17" s="1"/>
      <c r="R17" s="1"/>
    </row>
    <row r="18" spans="8:18" x14ac:dyDescent="0.3">
      <c r="H18"/>
      <c r="I18"/>
      <c r="J18"/>
      <c r="P18" s="1"/>
      <c r="Q18" s="1"/>
      <c r="R18" s="1"/>
    </row>
    <row r="19" spans="8:18" x14ac:dyDescent="0.3">
      <c r="H19"/>
      <c r="I19"/>
      <c r="J19"/>
      <c r="P19" s="1"/>
      <c r="Q19" s="1"/>
      <c r="R19" s="1"/>
    </row>
    <row r="20" spans="8:18" x14ac:dyDescent="0.3">
      <c r="H20"/>
      <c r="I20"/>
      <c r="J20"/>
      <c r="P20" s="1"/>
      <c r="Q20" s="1"/>
      <c r="R20" s="1"/>
    </row>
    <row r="21" spans="8:18" x14ac:dyDescent="0.3">
      <c r="H21"/>
      <c r="I21"/>
      <c r="J21"/>
      <c r="P21" s="1"/>
      <c r="Q21" s="1"/>
      <c r="R21" s="1"/>
    </row>
    <row r="22" spans="8:18" x14ac:dyDescent="0.3">
      <c r="H22"/>
      <c r="I22"/>
      <c r="J22"/>
      <c r="P22" s="1"/>
      <c r="Q22" s="1"/>
      <c r="R22" s="1"/>
    </row>
    <row r="23" spans="8:18" x14ac:dyDescent="0.3">
      <c r="H23"/>
      <c r="I23"/>
      <c r="J23"/>
      <c r="P23" s="1"/>
      <c r="Q23" s="1"/>
      <c r="R23" s="1"/>
    </row>
    <row r="24" spans="8:18" x14ac:dyDescent="0.3">
      <c r="H24"/>
      <c r="I24"/>
      <c r="J24"/>
      <c r="P24" s="1"/>
      <c r="Q24" s="1"/>
      <c r="R24" s="1"/>
    </row>
    <row r="25" spans="8:18" x14ac:dyDescent="0.3">
      <c r="H25"/>
      <c r="I25"/>
      <c r="J25"/>
      <c r="P25" s="1"/>
      <c r="Q25" s="1"/>
      <c r="R25" s="1"/>
    </row>
    <row r="26" spans="8:18" x14ac:dyDescent="0.3">
      <c r="H26"/>
      <c r="I26"/>
      <c r="J26"/>
      <c r="P26" s="1"/>
      <c r="Q26" s="1"/>
      <c r="R26" s="1"/>
    </row>
    <row r="27" spans="8:18" x14ac:dyDescent="0.3">
      <c r="H27"/>
      <c r="I27"/>
      <c r="J27"/>
      <c r="P27" s="1"/>
      <c r="Q27" s="1"/>
      <c r="R27" s="1"/>
    </row>
    <row r="28" spans="8:18" x14ac:dyDescent="0.3">
      <c r="H28"/>
      <c r="I28"/>
      <c r="J28"/>
      <c r="P28" s="1"/>
      <c r="Q28" s="1"/>
      <c r="R28" s="1"/>
    </row>
    <row r="29" spans="8:18" x14ac:dyDescent="0.3">
      <c r="H29"/>
      <c r="I29"/>
      <c r="J29"/>
      <c r="P29" s="1"/>
      <c r="Q29" s="1"/>
      <c r="R29" s="1"/>
    </row>
    <row r="30" spans="8:18" x14ac:dyDescent="0.3">
      <c r="H30"/>
      <c r="I30"/>
      <c r="J30"/>
      <c r="P30" s="1"/>
      <c r="Q30" s="1"/>
      <c r="R30" s="1"/>
    </row>
    <row r="31" spans="8:18" x14ac:dyDescent="0.3">
      <c r="H31"/>
      <c r="I31"/>
      <c r="J31"/>
      <c r="P31" s="1"/>
      <c r="Q31" s="1"/>
      <c r="R31" s="1"/>
    </row>
    <row r="32" spans="8:18" x14ac:dyDescent="0.3">
      <c r="H32"/>
      <c r="I32"/>
      <c r="J32"/>
      <c r="P32" s="1"/>
      <c r="Q32" s="1"/>
      <c r="R32" s="1"/>
    </row>
    <row r="33" spans="8:18" x14ac:dyDescent="0.3">
      <c r="H33"/>
      <c r="I33"/>
      <c r="J33"/>
      <c r="P33" s="1"/>
      <c r="Q33" s="1"/>
      <c r="R33" s="1"/>
    </row>
    <row r="34" spans="8:18" x14ac:dyDescent="0.3">
      <c r="H34" s="1"/>
      <c r="I34" s="1"/>
      <c r="J34" s="1"/>
      <c r="P34" s="1"/>
      <c r="Q34" s="1"/>
      <c r="R34" s="1"/>
    </row>
    <row r="35" spans="8:18" x14ac:dyDescent="0.3">
      <c r="H35" s="1"/>
      <c r="I35" s="1"/>
      <c r="J35" s="1"/>
      <c r="P35" s="1"/>
      <c r="Q35" s="1"/>
      <c r="R35" s="1"/>
    </row>
    <row r="36" spans="8:18" x14ac:dyDescent="0.3">
      <c r="H36" s="1"/>
      <c r="I36" s="1"/>
      <c r="J36" s="1"/>
      <c r="P36" s="1"/>
      <c r="Q36" s="1"/>
      <c r="R36" s="1"/>
    </row>
    <row r="37" spans="8:18" x14ac:dyDescent="0.3">
      <c r="H37" s="1"/>
      <c r="I37" s="1"/>
      <c r="J37" s="1"/>
      <c r="P37" s="1"/>
      <c r="Q37" s="1"/>
      <c r="R37" s="1"/>
    </row>
    <row r="38" spans="8:18" x14ac:dyDescent="0.3">
      <c r="H38" s="1"/>
      <c r="I38" s="1"/>
      <c r="J38" s="1"/>
      <c r="P38" s="1"/>
      <c r="Q38" s="1"/>
      <c r="R38" s="1"/>
    </row>
    <row r="39" spans="8:18" x14ac:dyDescent="0.3">
      <c r="H39" s="1"/>
      <c r="I39" s="1"/>
      <c r="J39" s="1"/>
      <c r="P39" s="1"/>
      <c r="Q39" s="1"/>
      <c r="R39" s="1"/>
    </row>
    <row r="40" spans="8:18" x14ac:dyDescent="0.3">
      <c r="H40" s="1"/>
      <c r="I40" s="1"/>
      <c r="J40" s="1"/>
      <c r="P40" s="1"/>
      <c r="Q40" s="1"/>
      <c r="R40" s="1"/>
    </row>
    <row r="41" spans="8:18" x14ac:dyDescent="0.3">
      <c r="H41" s="1"/>
      <c r="I41" s="1"/>
      <c r="J41" s="1"/>
      <c r="P41" s="1"/>
      <c r="Q41" s="1"/>
      <c r="R41" s="1"/>
    </row>
    <row r="42" spans="8:18" x14ac:dyDescent="0.3">
      <c r="H42" s="1"/>
      <c r="I42" s="1"/>
      <c r="J42" s="1"/>
      <c r="P42" s="1"/>
      <c r="Q42" s="1"/>
      <c r="R42" s="1"/>
    </row>
    <row r="43" spans="8:18" x14ac:dyDescent="0.3">
      <c r="H43" s="1"/>
      <c r="I43" s="1"/>
      <c r="J43" s="1"/>
      <c r="P43" s="1"/>
      <c r="Q43" s="1"/>
      <c r="R43" s="1"/>
    </row>
    <row r="44" spans="8:18" x14ac:dyDescent="0.3">
      <c r="H44" s="1"/>
      <c r="I44" s="1"/>
      <c r="J44" s="1"/>
      <c r="P44" s="1"/>
      <c r="Q44" s="1"/>
      <c r="R44" s="1"/>
    </row>
    <row r="45" spans="8:18" x14ac:dyDescent="0.3">
      <c r="H45"/>
      <c r="I45"/>
      <c r="J45"/>
      <c r="P45"/>
      <c r="Q45"/>
      <c r="R45"/>
    </row>
    <row r="46" spans="8:18" x14ac:dyDescent="0.3">
      <c r="H46"/>
      <c r="I46"/>
      <c r="J46"/>
      <c r="P46"/>
      <c r="Q46"/>
      <c r="R46"/>
    </row>
    <row r="47" spans="8:18" x14ac:dyDescent="0.3">
      <c r="H47" s="41" t="s">
        <v>21</v>
      </c>
      <c r="I47" s="1" t="s">
        <v>75</v>
      </c>
      <c r="P47"/>
      <c r="Q47"/>
      <c r="R47"/>
    </row>
    <row r="48" spans="8:18" x14ac:dyDescent="0.3">
      <c r="P48" s="41" t="s">
        <v>21</v>
      </c>
      <c r="Q48" s="1" t="s">
        <v>75</v>
      </c>
      <c r="R48"/>
    </row>
    <row r="49" spans="8:38" x14ac:dyDescent="0.3">
      <c r="H49" s="41" t="s">
        <v>31</v>
      </c>
      <c r="I49" s="1" t="s">
        <v>34</v>
      </c>
      <c r="J49" s="1" t="s">
        <v>35</v>
      </c>
      <c r="P49"/>
      <c r="Q49"/>
      <c r="R49"/>
    </row>
    <row r="50" spans="8:38" x14ac:dyDescent="0.3">
      <c r="H50" s="42">
        <v>44082</v>
      </c>
      <c r="I50" s="4">
        <v>15.799999999999955</v>
      </c>
      <c r="J50" s="69">
        <v>1</v>
      </c>
      <c r="P50" s="41" t="s">
        <v>31</v>
      </c>
      <c r="Q50" s="1" t="s">
        <v>41</v>
      </c>
      <c r="R50" s="1" t="s">
        <v>42</v>
      </c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</row>
    <row r="51" spans="8:38" x14ac:dyDescent="0.3">
      <c r="H51" s="42" t="s">
        <v>32</v>
      </c>
      <c r="I51" s="4">
        <v>15.799999999999955</v>
      </c>
      <c r="J51" s="69">
        <v>1</v>
      </c>
      <c r="P51" s="42">
        <v>44082</v>
      </c>
      <c r="Q51" s="3">
        <v>1275.9999999999998</v>
      </c>
      <c r="R51" s="3">
        <v>1249</v>
      </c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</row>
    <row r="52" spans="8:38" x14ac:dyDescent="0.3">
      <c r="H52"/>
      <c r="I52"/>
      <c r="J52"/>
      <c r="P52" s="42" t="s">
        <v>32</v>
      </c>
      <c r="Q52" s="3">
        <v>1275.9999999999998</v>
      </c>
      <c r="R52" s="3">
        <v>1249</v>
      </c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8:38" x14ac:dyDescent="0.3">
      <c r="H53"/>
      <c r="I53"/>
      <c r="J53"/>
      <c r="P53"/>
      <c r="Q53"/>
      <c r="R53"/>
    </row>
    <row r="54" spans="8:38" x14ac:dyDescent="0.3">
      <c r="H54"/>
      <c r="I54"/>
      <c r="J54"/>
      <c r="P54"/>
      <c r="Q54"/>
      <c r="R54"/>
    </row>
    <row r="55" spans="8:38" x14ac:dyDescent="0.3">
      <c r="H55"/>
      <c r="I55"/>
      <c r="J55"/>
      <c r="P55"/>
      <c r="Q55"/>
      <c r="R55"/>
    </row>
    <row r="56" spans="8:38" x14ac:dyDescent="0.3">
      <c r="H56"/>
      <c r="I56"/>
      <c r="J56"/>
      <c r="P56"/>
      <c r="Q56"/>
      <c r="R56"/>
    </row>
    <row r="57" spans="8:38" x14ac:dyDescent="0.3">
      <c r="H57"/>
      <c r="I57"/>
      <c r="J57"/>
      <c r="P57"/>
      <c r="Q57"/>
      <c r="R57"/>
    </row>
    <row r="58" spans="8:38" x14ac:dyDescent="0.3">
      <c r="H58"/>
      <c r="I58"/>
      <c r="J58"/>
      <c r="P58"/>
      <c r="Q58"/>
      <c r="R58"/>
    </row>
    <row r="59" spans="8:38" x14ac:dyDescent="0.3">
      <c r="H59"/>
      <c r="I59"/>
      <c r="J59"/>
      <c r="P59"/>
      <c r="Q59"/>
      <c r="R59"/>
    </row>
    <row r="60" spans="8:38" x14ac:dyDescent="0.3">
      <c r="H60"/>
      <c r="I60"/>
      <c r="J60"/>
      <c r="P60"/>
      <c r="Q60"/>
      <c r="R60"/>
    </row>
    <row r="61" spans="8:38" x14ac:dyDescent="0.3">
      <c r="H61"/>
      <c r="I61"/>
      <c r="J61"/>
      <c r="P61"/>
      <c r="Q61"/>
      <c r="R61"/>
    </row>
    <row r="62" spans="8:38" x14ac:dyDescent="0.3">
      <c r="H62"/>
      <c r="I62"/>
      <c r="J62"/>
      <c r="P62"/>
      <c r="Q62"/>
      <c r="R62"/>
    </row>
    <row r="63" spans="8:38" x14ac:dyDescent="0.3">
      <c r="H63"/>
      <c r="I63"/>
      <c r="J63"/>
      <c r="P63"/>
      <c r="Q63"/>
      <c r="R63"/>
    </row>
    <row r="64" spans="8:38" x14ac:dyDescent="0.3">
      <c r="H64"/>
      <c r="I64"/>
      <c r="J64"/>
      <c r="P64"/>
      <c r="Q64"/>
      <c r="R64"/>
    </row>
    <row r="65" spans="8:18" x14ac:dyDescent="0.3">
      <c r="H65"/>
      <c r="I65"/>
      <c r="J65"/>
      <c r="P65"/>
      <c r="Q65"/>
      <c r="R65"/>
    </row>
    <row r="66" spans="8:18" x14ac:dyDescent="0.3">
      <c r="H66"/>
      <c r="I66"/>
      <c r="J66"/>
      <c r="P66"/>
      <c r="Q66"/>
      <c r="R66"/>
    </row>
    <row r="67" spans="8:18" x14ac:dyDescent="0.3">
      <c r="H67"/>
      <c r="I67"/>
      <c r="J67"/>
      <c r="P67"/>
      <c r="Q67"/>
      <c r="R67"/>
    </row>
    <row r="68" spans="8:18" x14ac:dyDescent="0.3">
      <c r="H68"/>
      <c r="I68"/>
      <c r="J68"/>
      <c r="P68"/>
      <c r="Q68"/>
      <c r="R68"/>
    </row>
    <row r="69" spans="8:18" x14ac:dyDescent="0.3">
      <c r="H69"/>
      <c r="I69"/>
      <c r="J69"/>
      <c r="P69"/>
      <c r="Q69"/>
      <c r="R69"/>
    </row>
    <row r="70" spans="8:18" x14ac:dyDescent="0.3">
      <c r="H70"/>
      <c r="I70"/>
      <c r="J70"/>
      <c r="P70"/>
      <c r="Q70"/>
      <c r="R70"/>
    </row>
    <row r="71" spans="8:18" x14ac:dyDescent="0.3">
      <c r="H71"/>
      <c r="I71"/>
      <c r="J71"/>
      <c r="P71"/>
      <c r="Q71"/>
      <c r="R71"/>
    </row>
    <row r="72" spans="8:18" x14ac:dyDescent="0.3">
      <c r="H72"/>
      <c r="I72"/>
      <c r="J72"/>
      <c r="P72"/>
      <c r="Q72"/>
      <c r="R72"/>
    </row>
    <row r="73" spans="8:18" x14ac:dyDescent="0.3">
      <c r="H73"/>
      <c r="I73"/>
      <c r="J73"/>
      <c r="P73"/>
      <c r="Q73"/>
      <c r="R73"/>
    </row>
    <row r="74" spans="8:18" x14ac:dyDescent="0.3">
      <c r="H74"/>
      <c r="I74"/>
      <c r="J74"/>
      <c r="P74"/>
      <c r="Q74"/>
      <c r="R74"/>
    </row>
    <row r="75" spans="8:18" x14ac:dyDescent="0.3">
      <c r="H75"/>
      <c r="I75"/>
      <c r="J75"/>
      <c r="P75"/>
      <c r="Q75"/>
      <c r="R75"/>
    </row>
    <row r="76" spans="8:18" x14ac:dyDescent="0.3">
      <c r="H76"/>
      <c r="I76"/>
      <c r="J76"/>
      <c r="P76"/>
      <c r="Q76"/>
      <c r="R76"/>
    </row>
    <row r="77" spans="8:18" x14ac:dyDescent="0.3">
      <c r="H77"/>
      <c r="I77"/>
      <c r="J77"/>
      <c r="P77"/>
      <c r="Q77"/>
      <c r="R77"/>
    </row>
    <row r="78" spans="8:18" x14ac:dyDescent="0.3">
      <c r="H78"/>
      <c r="I78"/>
      <c r="J78"/>
      <c r="P78"/>
      <c r="Q78"/>
      <c r="R78"/>
    </row>
    <row r="79" spans="8:18" x14ac:dyDescent="0.3">
      <c r="H79"/>
      <c r="I79"/>
      <c r="J79"/>
      <c r="P79"/>
      <c r="Q79"/>
      <c r="R79"/>
    </row>
    <row r="80" spans="8:18" x14ac:dyDescent="0.3">
      <c r="H80" s="41" t="s">
        <v>21</v>
      </c>
      <c r="I80" s="1" t="s">
        <v>75</v>
      </c>
      <c r="J80"/>
      <c r="P80"/>
      <c r="Q80"/>
      <c r="R80"/>
    </row>
    <row r="81" spans="8:18" x14ac:dyDescent="0.3">
      <c r="H81"/>
      <c r="I81"/>
      <c r="J81"/>
      <c r="P81"/>
      <c r="Q81"/>
      <c r="R81"/>
    </row>
    <row r="82" spans="8:18" x14ac:dyDescent="0.3">
      <c r="H82" s="41" t="s">
        <v>31</v>
      </c>
      <c r="I82" s="1" t="s">
        <v>36</v>
      </c>
      <c r="J82" s="1" t="s">
        <v>37</v>
      </c>
      <c r="P82"/>
      <c r="Q82"/>
      <c r="R82"/>
    </row>
    <row r="83" spans="8:18" x14ac:dyDescent="0.3">
      <c r="H83" s="47">
        <v>44082</v>
      </c>
      <c r="I83" s="43">
        <v>15.799999999999955</v>
      </c>
      <c r="J83" s="43">
        <v>0</v>
      </c>
      <c r="P83"/>
      <c r="Q83"/>
      <c r="R83"/>
    </row>
    <row r="84" spans="8:18" x14ac:dyDescent="0.3">
      <c r="H84" s="47" t="s">
        <v>32</v>
      </c>
      <c r="I84" s="43">
        <v>15.799999999999955</v>
      </c>
      <c r="J84" s="43">
        <v>0</v>
      </c>
      <c r="P84"/>
      <c r="Q84"/>
      <c r="R84"/>
    </row>
    <row r="85" spans="8:18" x14ac:dyDescent="0.3">
      <c r="H85"/>
      <c r="I85"/>
      <c r="J85"/>
      <c r="P85"/>
      <c r="Q85"/>
      <c r="R85"/>
    </row>
    <row r="86" spans="8:18" x14ac:dyDescent="0.3">
      <c r="H86"/>
      <c r="I86"/>
      <c r="J86"/>
      <c r="P86"/>
      <c r="Q86"/>
      <c r="R86"/>
    </row>
    <row r="87" spans="8:18" x14ac:dyDescent="0.3">
      <c r="H87"/>
      <c r="I87"/>
      <c r="J87"/>
      <c r="P87"/>
      <c r="Q87"/>
      <c r="R87"/>
    </row>
    <row r="88" spans="8:18" x14ac:dyDescent="0.3">
      <c r="H88"/>
      <c r="I88"/>
      <c r="J88"/>
      <c r="P88"/>
      <c r="Q88"/>
      <c r="R88"/>
    </row>
    <row r="89" spans="8:18" x14ac:dyDescent="0.3">
      <c r="H89"/>
      <c r="I89"/>
      <c r="J89"/>
    </row>
    <row r="90" spans="8:18" x14ac:dyDescent="0.3">
      <c r="H90"/>
      <c r="I90"/>
      <c r="J90"/>
    </row>
    <row r="91" spans="8:18" x14ac:dyDescent="0.3">
      <c r="H91"/>
      <c r="I91"/>
      <c r="J91"/>
    </row>
    <row r="92" spans="8:18" x14ac:dyDescent="0.3">
      <c r="H92"/>
      <c r="I92"/>
      <c r="J92"/>
    </row>
    <row r="93" spans="8:18" x14ac:dyDescent="0.3">
      <c r="H93"/>
      <c r="I93"/>
      <c r="J93"/>
    </row>
    <row r="94" spans="8:18" x14ac:dyDescent="0.3">
      <c r="H94"/>
      <c r="I94"/>
      <c r="J94"/>
    </row>
    <row r="95" spans="8:18" x14ac:dyDescent="0.3">
      <c r="H95"/>
      <c r="I95"/>
      <c r="J95"/>
    </row>
    <row r="96" spans="8:18" x14ac:dyDescent="0.3">
      <c r="H96"/>
      <c r="I96"/>
      <c r="J96"/>
    </row>
    <row r="97" spans="8:10" x14ac:dyDescent="0.3">
      <c r="H97"/>
      <c r="I97"/>
      <c r="J97"/>
    </row>
    <row r="98" spans="8:10" x14ac:dyDescent="0.3">
      <c r="H98"/>
      <c r="I98"/>
      <c r="J98"/>
    </row>
    <row r="99" spans="8:10" x14ac:dyDescent="0.3">
      <c r="H99"/>
      <c r="I99"/>
      <c r="J99"/>
    </row>
    <row r="100" spans="8:10" x14ac:dyDescent="0.3">
      <c r="H100"/>
      <c r="I100"/>
      <c r="J100"/>
    </row>
    <row r="101" spans="8:10" x14ac:dyDescent="0.3">
      <c r="H101"/>
      <c r="I101"/>
      <c r="J101"/>
    </row>
    <row r="102" spans="8:10" x14ac:dyDescent="0.3">
      <c r="H102"/>
      <c r="I102"/>
      <c r="J102"/>
    </row>
    <row r="103" spans="8:10" x14ac:dyDescent="0.3">
      <c r="H103"/>
      <c r="I103"/>
      <c r="J103"/>
    </row>
    <row r="104" spans="8:10" x14ac:dyDescent="0.3">
      <c r="H104"/>
      <c r="I104"/>
      <c r="J104"/>
    </row>
    <row r="105" spans="8:10" x14ac:dyDescent="0.3">
      <c r="H105"/>
      <c r="I105"/>
      <c r="J105"/>
    </row>
    <row r="106" spans="8:10" x14ac:dyDescent="0.3">
      <c r="H106"/>
      <c r="I106"/>
      <c r="J106"/>
    </row>
    <row r="107" spans="8:10" x14ac:dyDescent="0.3">
      <c r="H107"/>
      <c r="I107"/>
      <c r="J107"/>
    </row>
    <row r="108" spans="8:10" x14ac:dyDescent="0.3">
      <c r="H108"/>
      <c r="I108"/>
      <c r="J108"/>
    </row>
    <row r="109" spans="8:10" x14ac:dyDescent="0.3">
      <c r="H109"/>
      <c r="I109"/>
      <c r="J109"/>
    </row>
    <row r="110" spans="8:10" x14ac:dyDescent="0.3">
      <c r="H110"/>
      <c r="I110"/>
      <c r="J110"/>
    </row>
    <row r="111" spans="8:10" x14ac:dyDescent="0.3">
      <c r="H111"/>
      <c r="I111"/>
      <c r="J111"/>
    </row>
    <row r="112" spans="8:10" x14ac:dyDescent="0.3">
      <c r="H112"/>
      <c r="I112"/>
      <c r="J112"/>
    </row>
    <row r="113" spans="8:47" x14ac:dyDescent="0.3">
      <c r="H113" s="1"/>
      <c r="I113" s="1"/>
      <c r="J113" s="1"/>
    </row>
    <row r="114" spans="8:47" x14ac:dyDescent="0.3">
      <c r="H114" s="1"/>
      <c r="I114" s="1"/>
      <c r="J114" s="1"/>
    </row>
    <row r="115" spans="8:47" x14ac:dyDescent="0.3">
      <c r="H115" s="1"/>
      <c r="I115" s="1"/>
      <c r="J115" s="1"/>
    </row>
    <row r="116" spans="8:47" x14ac:dyDescent="0.3">
      <c r="H116" s="1"/>
      <c r="I116" s="1"/>
      <c r="J116" s="1"/>
    </row>
    <row r="117" spans="8:47" x14ac:dyDescent="0.3">
      <c r="H117" s="1"/>
      <c r="I117" s="1"/>
      <c r="J117" s="1"/>
    </row>
    <row r="118" spans="8:47" x14ac:dyDescent="0.3">
      <c r="H118" s="1"/>
      <c r="I118" s="1"/>
      <c r="J118" s="1"/>
    </row>
    <row r="119" spans="8:47" x14ac:dyDescent="0.3">
      <c r="H119" s="1"/>
      <c r="I119" s="1"/>
      <c r="J119" s="1"/>
    </row>
    <row r="120" spans="8:47" x14ac:dyDescent="0.3">
      <c r="H120"/>
      <c r="I120"/>
      <c r="J120"/>
    </row>
    <row r="121" spans="8:47" x14ac:dyDescent="0.3">
      <c r="H121"/>
      <c r="I121"/>
      <c r="J121"/>
      <c r="P121" s="41" t="s">
        <v>21</v>
      </c>
      <c r="Q121" s="1" t="s">
        <v>75</v>
      </c>
    </row>
    <row r="122" spans="8:47" x14ac:dyDescent="0.3">
      <c r="H122"/>
    </row>
    <row r="123" spans="8:47" x14ac:dyDescent="0.3">
      <c r="H123"/>
      <c r="P123" s="41" t="s">
        <v>43</v>
      </c>
      <c r="Q123" s="41" t="s">
        <v>38</v>
      </c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</row>
    <row r="124" spans="8:47" x14ac:dyDescent="0.3">
      <c r="H124"/>
      <c r="P124" s="41" t="s">
        <v>31</v>
      </c>
      <c r="Q124" s="1">
        <v>1</v>
      </c>
      <c r="R124" s="1">
        <v>2</v>
      </c>
      <c r="S124" s="1">
        <v>3</v>
      </c>
      <c r="T124" s="1">
        <v>4</v>
      </c>
      <c r="U124" s="1">
        <v>5</v>
      </c>
      <c r="V124" s="1" t="s">
        <v>32</v>
      </c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</row>
    <row r="125" spans="8:47" x14ac:dyDescent="0.3">
      <c r="H125"/>
      <c r="P125" s="47">
        <v>44082</v>
      </c>
      <c r="Q125" s="49">
        <v>6.9444444444444441E-3</v>
      </c>
      <c r="R125" s="49">
        <v>0.17222222222222225</v>
      </c>
      <c r="S125" s="49">
        <v>0</v>
      </c>
      <c r="T125" s="49">
        <v>0</v>
      </c>
      <c r="U125" s="49">
        <v>0</v>
      </c>
      <c r="V125" s="49">
        <v>0.1791666666666667</v>
      </c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</row>
    <row r="126" spans="8:47" x14ac:dyDescent="0.3">
      <c r="H126"/>
      <c r="P126" s="47" t="s">
        <v>32</v>
      </c>
      <c r="Q126" s="49">
        <v>6.9444444444444441E-3</v>
      </c>
      <c r="R126" s="49">
        <v>0.17222222222222225</v>
      </c>
      <c r="S126" s="49">
        <v>0</v>
      </c>
      <c r="T126" s="49">
        <v>0</v>
      </c>
      <c r="U126" s="49">
        <v>0</v>
      </c>
      <c r="V126" s="49">
        <v>0.1791666666666667</v>
      </c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</row>
    <row r="127" spans="8:47" x14ac:dyDescent="0.3">
      <c r="H127" s="41" t="s">
        <v>20</v>
      </c>
      <c r="I127" s="42">
        <v>44082</v>
      </c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</row>
    <row r="128" spans="8:47" x14ac:dyDescent="0.3">
      <c r="H128" s="41" t="s">
        <v>21</v>
      </c>
      <c r="I128" s="1" t="s">
        <v>75</v>
      </c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</row>
    <row r="129" spans="8:47" x14ac:dyDescent="0.3"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</row>
    <row r="130" spans="8:47" x14ac:dyDescent="0.3">
      <c r="H130" s="41" t="s">
        <v>31</v>
      </c>
      <c r="I130" t="s">
        <v>44</v>
      </c>
      <c r="J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</row>
    <row r="131" spans="8:47" x14ac:dyDescent="0.3">
      <c r="H131" s="5" t="s">
        <v>32</v>
      </c>
      <c r="I131" s="43"/>
      <c r="J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</row>
    <row r="132" spans="8:47" x14ac:dyDescent="0.3">
      <c r="H132"/>
      <c r="I132"/>
      <c r="J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</row>
    <row r="133" spans="8:47" x14ac:dyDescent="0.3">
      <c r="H133"/>
      <c r="I133"/>
      <c r="J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8:47" x14ac:dyDescent="0.3">
      <c r="H134"/>
      <c r="I134"/>
      <c r="J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8:47" x14ac:dyDescent="0.3">
      <c r="H135"/>
      <c r="I135"/>
      <c r="J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8:47" x14ac:dyDescent="0.3">
      <c r="H136" s="5"/>
      <c r="I136" s="43"/>
      <c r="J136" s="1"/>
      <c r="P136"/>
      <c r="Q136"/>
      <c r="R136"/>
      <c r="S136"/>
      <c r="T136"/>
      <c r="U136"/>
      <c r="V136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</row>
    <row r="137" spans="8:47" ht="17.25" customHeight="1" x14ac:dyDescent="0.3">
      <c r="H137" s="5"/>
      <c r="I137" s="43"/>
      <c r="J137" s="1"/>
      <c r="P137"/>
      <c r="Q137"/>
      <c r="R137"/>
      <c r="S137"/>
      <c r="T137"/>
      <c r="U137"/>
      <c r="V137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</row>
    <row r="138" spans="8:47" ht="17.25" customHeight="1" x14ac:dyDescent="0.3">
      <c r="H138" s="5"/>
      <c r="I138" s="43"/>
      <c r="J138" s="1"/>
      <c r="P138"/>
      <c r="Q138"/>
      <c r="R138"/>
      <c r="S138"/>
      <c r="T138"/>
      <c r="U138"/>
      <c r="V138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</row>
    <row r="139" spans="8:47" ht="17.25" customHeight="1" x14ac:dyDescent="0.3">
      <c r="H139" s="5"/>
      <c r="I139" s="43"/>
      <c r="J139" s="1"/>
      <c r="P139"/>
      <c r="Q139"/>
      <c r="R139"/>
      <c r="S139"/>
      <c r="T139"/>
      <c r="U139"/>
      <c r="V139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</row>
    <row r="140" spans="8:47" ht="17.25" customHeight="1" x14ac:dyDescent="0.3">
      <c r="H140" s="5"/>
      <c r="I140" s="43"/>
      <c r="J140" s="1"/>
      <c r="P140"/>
      <c r="Q140"/>
      <c r="R140"/>
      <c r="S140"/>
      <c r="T140"/>
      <c r="U140"/>
      <c r="V140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</row>
    <row r="141" spans="8:47" ht="17.25" customHeight="1" x14ac:dyDescent="0.3">
      <c r="H141" s="5"/>
      <c r="I141" s="43"/>
      <c r="J141" s="1"/>
      <c r="P141"/>
      <c r="Q141"/>
      <c r="R141"/>
      <c r="S141"/>
      <c r="T141"/>
      <c r="U141"/>
      <c r="V14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</row>
    <row r="142" spans="8:47" ht="17.25" customHeight="1" x14ac:dyDescent="0.3">
      <c r="H142" s="5"/>
      <c r="I142" s="43"/>
      <c r="J142" s="1"/>
      <c r="P142"/>
      <c r="Q142"/>
      <c r="R142"/>
      <c r="S142"/>
      <c r="T142"/>
      <c r="U142"/>
      <c r="V142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</row>
    <row r="143" spans="8:47" ht="17.25" customHeight="1" x14ac:dyDescent="0.3">
      <c r="H143" s="5"/>
      <c r="I143" s="43"/>
      <c r="J143" s="1"/>
      <c r="P143"/>
      <c r="Q143"/>
      <c r="R143"/>
      <c r="S143"/>
      <c r="T143"/>
      <c r="U143"/>
      <c r="V143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</row>
    <row r="144" spans="8:47" ht="17.25" customHeight="1" x14ac:dyDescent="0.3">
      <c r="H144" s="5"/>
      <c r="I144" s="43"/>
      <c r="J144" s="1"/>
      <c r="P144"/>
      <c r="Q144"/>
      <c r="R144"/>
      <c r="S144"/>
      <c r="T144"/>
      <c r="U144"/>
      <c r="V144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</row>
    <row r="145" spans="8:38" ht="17.25" customHeight="1" x14ac:dyDescent="0.3">
      <c r="H145" s="5"/>
      <c r="I145" s="43"/>
      <c r="J145" s="1"/>
      <c r="P145"/>
      <c r="Q145"/>
      <c r="R145"/>
      <c r="S145"/>
      <c r="T145"/>
      <c r="U145"/>
      <c r="V145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</row>
    <row r="146" spans="8:38" ht="17.25" customHeight="1" x14ac:dyDescent="0.3">
      <c r="H146" s="5"/>
      <c r="I146" s="43"/>
      <c r="J146" s="1"/>
      <c r="P146"/>
      <c r="Q146"/>
      <c r="R146"/>
      <c r="S146"/>
      <c r="T146"/>
      <c r="U146"/>
      <c r="V146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</row>
    <row r="147" spans="8:38" ht="17.25" customHeight="1" x14ac:dyDescent="0.3">
      <c r="H147" s="5"/>
      <c r="I147" s="43"/>
      <c r="J147" s="1"/>
      <c r="P147"/>
      <c r="Q147"/>
      <c r="R147"/>
      <c r="S147"/>
      <c r="T147"/>
      <c r="U147"/>
      <c r="V147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</row>
    <row r="148" spans="8:38" ht="17.25" customHeight="1" x14ac:dyDescent="0.3">
      <c r="H148" s="5"/>
      <c r="I148" s="43"/>
      <c r="J148" s="1"/>
      <c r="P148"/>
      <c r="Q148"/>
      <c r="R148"/>
      <c r="S148"/>
      <c r="T148"/>
      <c r="U148"/>
      <c r="V148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</row>
    <row r="149" spans="8:38" ht="17.25" customHeight="1" x14ac:dyDescent="0.3">
      <c r="H149" s="5"/>
      <c r="I149" s="43"/>
      <c r="J149" s="1"/>
      <c r="P149"/>
      <c r="Q149"/>
      <c r="R149"/>
      <c r="S149"/>
      <c r="T149"/>
      <c r="U149"/>
      <c r="V149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</row>
    <row r="150" spans="8:38" ht="17.25" customHeight="1" x14ac:dyDescent="0.3">
      <c r="H150" s="5"/>
      <c r="I150" s="43"/>
      <c r="J150" s="1"/>
      <c r="P150"/>
      <c r="Q150"/>
      <c r="R150"/>
      <c r="S150"/>
      <c r="T150"/>
      <c r="U150"/>
      <c r="V150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</row>
    <row r="151" spans="8:38" ht="17.25" customHeight="1" x14ac:dyDescent="0.3">
      <c r="H151" s="5"/>
      <c r="I151" s="43"/>
      <c r="J151" s="1"/>
      <c r="P151"/>
      <c r="Q151"/>
      <c r="R151"/>
      <c r="S151"/>
      <c r="T151"/>
      <c r="U151"/>
      <c r="V15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</row>
    <row r="152" spans="8:38" ht="17.25" customHeight="1" x14ac:dyDescent="0.3">
      <c r="H152" s="5"/>
      <c r="I152" s="43"/>
      <c r="J152" s="1"/>
      <c r="P152"/>
      <c r="Q152"/>
      <c r="R152"/>
      <c r="S152"/>
      <c r="T152"/>
      <c r="U152"/>
      <c r="V152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</row>
    <row r="153" spans="8:38" ht="17.25" customHeight="1" x14ac:dyDescent="0.3">
      <c r="H153" s="5"/>
      <c r="I153" s="43"/>
      <c r="J153" s="1"/>
      <c r="P153"/>
      <c r="Q153"/>
      <c r="R153"/>
      <c r="S153"/>
      <c r="T153"/>
      <c r="U153"/>
      <c r="V153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</row>
    <row r="154" spans="8:38" x14ac:dyDescent="0.3">
      <c r="H154" s="5"/>
      <c r="I154" s="43"/>
      <c r="J154" s="1"/>
      <c r="P154"/>
      <c r="Q154"/>
      <c r="R154"/>
      <c r="S154"/>
      <c r="T154"/>
      <c r="U154"/>
      <c r="V154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</row>
    <row r="155" spans="8:38" x14ac:dyDescent="0.3">
      <c r="H155" s="5"/>
      <c r="I155" s="43"/>
      <c r="J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</row>
    <row r="156" spans="8:38" x14ac:dyDescent="0.3">
      <c r="H156" s="5"/>
      <c r="I156" s="43"/>
      <c r="J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</row>
    <row r="157" spans="8:38" x14ac:dyDescent="0.3">
      <c r="H157" s="5"/>
      <c r="I157" s="43"/>
      <c r="J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</row>
    <row r="158" spans="8:38" x14ac:dyDescent="0.3">
      <c r="H158" s="5"/>
      <c r="I158" s="43"/>
      <c r="J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</row>
    <row r="159" spans="8:38" x14ac:dyDescent="0.3">
      <c r="H159" s="5"/>
      <c r="I159" s="43"/>
      <c r="J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</row>
    <row r="160" spans="8:38" x14ac:dyDescent="0.3">
      <c r="H160" s="5"/>
      <c r="I160" s="43"/>
      <c r="J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</row>
    <row r="161" spans="8:38" x14ac:dyDescent="0.3">
      <c r="H161" s="5"/>
      <c r="I161" s="43"/>
      <c r="J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</row>
    <row r="162" spans="8:38" x14ac:dyDescent="0.3">
      <c r="H162" s="5"/>
      <c r="I162" s="43"/>
      <c r="J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</row>
    <row r="163" spans="8:38" x14ac:dyDescent="0.3">
      <c r="H163" s="5"/>
      <c r="I163" s="43"/>
      <c r="J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</row>
    <row r="164" spans="8:38" x14ac:dyDescent="0.3">
      <c r="H164" s="5"/>
      <c r="I164" s="43"/>
      <c r="J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</row>
    <row r="165" spans="8:38" x14ac:dyDescent="0.3">
      <c r="H165"/>
      <c r="I165"/>
      <c r="J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8:38" x14ac:dyDescent="0.3">
      <c r="H166"/>
      <c r="I166"/>
      <c r="J166"/>
      <c r="P166" s="41" t="s">
        <v>21</v>
      </c>
      <c r="Q166" s="1" t="s">
        <v>75</v>
      </c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8:38" x14ac:dyDescent="0.3">
      <c r="H167"/>
      <c r="I167"/>
      <c r="J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8:38" x14ac:dyDescent="0.3">
      <c r="H168"/>
      <c r="I168"/>
      <c r="J168"/>
      <c r="P168" s="41" t="s">
        <v>31</v>
      </c>
      <c r="Q168" t="s">
        <v>44</v>
      </c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8:38" x14ac:dyDescent="0.3">
      <c r="H169"/>
      <c r="I169"/>
      <c r="J169"/>
      <c r="P169" s="5" t="s">
        <v>26</v>
      </c>
      <c r="Q169" s="43">
        <v>76.999999999999773</v>
      </c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8:38" x14ac:dyDescent="0.3">
      <c r="H170"/>
      <c r="I170"/>
      <c r="J170"/>
      <c r="P170" s="5" t="s">
        <v>32</v>
      </c>
      <c r="Q170" s="43">
        <v>76.999999999999773</v>
      </c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8:38" x14ac:dyDescent="0.3">
      <c r="H171"/>
      <c r="I171"/>
      <c r="J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8:38" x14ac:dyDescent="0.3">
      <c r="H172"/>
      <c r="I172"/>
      <c r="J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8:38" x14ac:dyDescent="0.3">
      <c r="H173"/>
      <c r="I173"/>
      <c r="J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8:38" x14ac:dyDescent="0.3">
      <c r="H174"/>
      <c r="I174"/>
      <c r="J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8:38" x14ac:dyDescent="0.3">
      <c r="H175"/>
      <c r="I175"/>
      <c r="J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8:38" x14ac:dyDescent="0.3">
      <c r="H176"/>
      <c r="I176"/>
      <c r="J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8:27" x14ac:dyDescent="0.3">
      <c r="H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8:27" x14ac:dyDescent="0.3">
      <c r="H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8:27" x14ac:dyDescent="0.3">
      <c r="H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8:27" x14ac:dyDescent="0.3">
      <c r="H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8:27" x14ac:dyDescent="0.3">
      <c r="H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8:27" x14ac:dyDescent="0.3">
      <c r="H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8:27" x14ac:dyDescent="0.3">
      <c r="H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8:27" x14ac:dyDescent="0.3">
      <c r="H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8:27" x14ac:dyDescent="0.3">
      <c r="H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8:27" x14ac:dyDescent="0.3">
      <c r="H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8:27" x14ac:dyDescent="0.3">
      <c r="H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8:27" x14ac:dyDescent="0.3">
      <c r="H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8:27" x14ac:dyDescent="0.3">
      <c r="H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8:27" x14ac:dyDescent="0.3">
      <c r="H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8:27" x14ac:dyDescent="0.3">
      <c r="H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8:27" x14ac:dyDescent="0.3">
      <c r="H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8:27" x14ac:dyDescent="0.3">
      <c r="H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8:27" x14ac:dyDescent="0.3">
      <c r="H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8:27" x14ac:dyDescent="0.3">
      <c r="H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8:27" x14ac:dyDescent="0.3">
      <c r="H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8:27" x14ac:dyDescent="0.3">
      <c r="H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8:27" x14ac:dyDescent="0.3">
      <c r="H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8:27" x14ac:dyDescent="0.3">
      <c r="H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8:27" x14ac:dyDescent="0.3">
      <c r="H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8:27" x14ac:dyDescent="0.3">
      <c r="H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8:27" x14ac:dyDescent="0.3">
      <c r="H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8:27" x14ac:dyDescent="0.3">
      <c r="H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8:27" x14ac:dyDescent="0.3">
      <c r="H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8:27" x14ac:dyDescent="0.3">
      <c r="H205"/>
      <c r="P205"/>
      <c r="Q205"/>
      <c r="R205"/>
      <c r="S205"/>
      <c r="T205"/>
      <c r="U205"/>
      <c r="V205"/>
      <c r="W205"/>
      <c r="X205"/>
      <c r="Y205"/>
      <c r="Z205"/>
      <c r="AA205"/>
    </row>
    <row r="206" spans="8:27" x14ac:dyDescent="0.3">
      <c r="H206"/>
      <c r="P206"/>
      <c r="Q206"/>
      <c r="R206"/>
      <c r="S206"/>
      <c r="T206"/>
      <c r="U206"/>
      <c r="V206"/>
      <c r="W206"/>
      <c r="X206"/>
      <c r="Y206"/>
      <c r="Z206"/>
      <c r="AA206"/>
    </row>
    <row r="207" spans="8:27" x14ac:dyDescent="0.3">
      <c r="P207"/>
      <c r="Q207"/>
      <c r="R207"/>
      <c r="S207"/>
      <c r="T207"/>
      <c r="U207"/>
      <c r="V207"/>
      <c r="W207"/>
      <c r="X207"/>
      <c r="Y207"/>
      <c r="Z207"/>
      <c r="AA207"/>
    </row>
    <row r="208" spans="8:27" x14ac:dyDescent="0.3">
      <c r="P208"/>
      <c r="Q208"/>
      <c r="R208"/>
      <c r="S208"/>
      <c r="T208"/>
      <c r="U208"/>
      <c r="V208"/>
      <c r="W208"/>
      <c r="X208"/>
      <c r="Y208"/>
      <c r="Z208"/>
      <c r="AA208"/>
    </row>
    <row r="209" spans="16:27" x14ac:dyDescent="0.3">
      <c r="P209"/>
      <c r="Q209"/>
      <c r="R209"/>
      <c r="S209"/>
      <c r="T209"/>
      <c r="U209"/>
      <c r="V209"/>
      <c r="W209"/>
      <c r="X209"/>
      <c r="Y209"/>
      <c r="Z209"/>
      <c r="AA209"/>
    </row>
    <row r="210" spans="16:27" x14ac:dyDescent="0.3">
      <c r="P210"/>
      <c r="Q210"/>
      <c r="R210"/>
      <c r="S210"/>
      <c r="T210"/>
      <c r="U210"/>
      <c r="V210"/>
      <c r="W210"/>
      <c r="X210"/>
      <c r="Y210"/>
      <c r="Z210"/>
      <c r="AA210"/>
    </row>
    <row r="211" spans="16:27" x14ac:dyDescent="0.3">
      <c r="P211"/>
      <c r="Q211"/>
      <c r="R211"/>
      <c r="S211"/>
      <c r="T211"/>
      <c r="U211"/>
      <c r="V211"/>
      <c r="W211"/>
      <c r="X211"/>
      <c r="Y211"/>
      <c r="Z211"/>
      <c r="AA211"/>
    </row>
    <row r="212" spans="16:27" x14ac:dyDescent="0.3">
      <c r="P212"/>
      <c r="Q212"/>
      <c r="R212"/>
      <c r="S212"/>
      <c r="T212"/>
      <c r="U212"/>
      <c r="V212"/>
      <c r="W212"/>
      <c r="X212"/>
      <c r="Y212"/>
      <c r="Z212"/>
      <c r="AA212"/>
    </row>
    <row r="213" spans="16:27" x14ac:dyDescent="0.3">
      <c r="P213"/>
      <c r="Q213"/>
      <c r="R213"/>
      <c r="S213"/>
      <c r="T213"/>
      <c r="U213"/>
      <c r="V213"/>
      <c r="W213"/>
      <c r="X213"/>
      <c r="Y213"/>
      <c r="Z213"/>
      <c r="AA213"/>
    </row>
    <row r="214" spans="16:27" x14ac:dyDescent="0.3">
      <c r="P214"/>
      <c r="Q214"/>
      <c r="R214"/>
      <c r="S214"/>
      <c r="T214"/>
      <c r="U214"/>
      <c r="V214"/>
      <c r="W214"/>
      <c r="X214"/>
      <c r="Y214"/>
      <c r="Z214"/>
      <c r="AA214"/>
    </row>
    <row r="215" spans="16:27" x14ac:dyDescent="0.3">
      <c r="P215"/>
      <c r="Q215"/>
      <c r="R215"/>
      <c r="S215"/>
      <c r="T215"/>
      <c r="U215"/>
      <c r="V215"/>
      <c r="W215"/>
      <c r="X215"/>
      <c r="Y215"/>
      <c r="Z215"/>
      <c r="AA215"/>
    </row>
    <row r="216" spans="16:27" x14ac:dyDescent="0.3">
      <c r="P216"/>
      <c r="Q216"/>
      <c r="R216"/>
      <c r="S216"/>
      <c r="T216"/>
      <c r="U216"/>
      <c r="V216"/>
      <c r="W216"/>
      <c r="X216"/>
      <c r="Y216"/>
      <c r="Z216"/>
      <c r="AA216"/>
    </row>
  </sheetData>
  <pageMargins left="0.7" right="0.7" top="0.75" bottom="0.75" header="0.3" footer="0.3"/>
  <pageSetup paperSize="9" orientation="portrait" horizontalDpi="200" verticalDpi="200" r:id="rId9"/>
  <drawing r:id="rId1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F41FE-1BAC-4CF7-BA42-DBCA1DE53583}">
  <sheetPr codeName="Hoja2"/>
  <dimension ref="A1:U51"/>
  <sheetViews>
    <sheetView tabSelected="1" zoomScale="62" zoomScaleNormal="62" workbookViewId="0">
      <selection activeCell="S20" sqref="S20"/>
    </sheetView>
  </sheetViews>
  <sheetFormatPr baseColWidth="10" defaultColWidth="11" defaultRowHeight="14" x14ac:dyDescent="0.3"/>
  <cols>
    <col min="1" max="16384" width="11" style="50"/>
  </cols>
  <sheetData>
    <row r="1" spans="1:21" x14ac:dyDescent="0.3">
      <c r="A1" s="51"/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3"/>
    </row>
    <row r="2" spans="1:21" x14ac:dyDescent="0.3">
      <c r="A2" s="54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6"/>
    </row>
    <row r="3" spans="1:21" x14ac:dyDescent="0.3">
      <c r="A3" s="54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6"/>
    </row>
    <row r="4" spans="1:21" x14ac:dyDescent="0.3">
      <c r="A4" s="54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6"/>
    </row>
    <row r="5" spans="1:21" x14ac:dyDescent="0.3">
      <c r="A5" s="54"/>
      <c r="B5" s="55"/>
      <c r="C5" s="55"/>
      <c r="D5" s="55"/>
      <c r="E5" s="55"/>
      <c r="F5" s="55"/>
      <c r="G5" s="55"/>
      <c r="H5" s="57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6"/>
    </row>
    <row r="6" spans="1:21" x14ac:dyDescent="0.3">
      <c r="A6" s="54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6"/>
    </row>
    <row r="7" spans="1:21" x14ac:dyDescent="0.3">
      <c r="A7" s="54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6"/>
    </row>
    <row r="8" spans="1:21" x14ac:dyDescent="0.3">
      <c r="A8" s="54"/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6"/>
    </row>
    <row r="9" spans="1:21" x14ac:dyDescent="0.3">
      <c r="A9" s="54"/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6"/>
    </row>
    <row r="10" spans="1:21" x14ac:dyDescent="0.3">
      <c r="A10" s="54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6"/>
    </row>
    <row r="11" spans="1:21" x14ac:dyDescent="0.3">
      <c r="A11" s="54"/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6"/>
    </row>
    <row r="12" spans="1:21" x14ac:dyDescent="0.3">
      <c r="A12" s="54"/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6"/>
    </row>
    <row r="13" spans="1:21" x14ac:dyDescent="0.3">
      <c r="A13" s="54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6"/>
    </row>
    <row r="14" spans="1:21" x14ac:dyDescent="0.3">
      <c r="A14" s="54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6"/>
    </row>
    <row r="15" spans="1:21" x14ac:dyDescent="0.3">
      <c r="A15" s="54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6"/>
    </row>
    <row r="16" spans="1:21" x14ac:dyDescent="0.3">
      <c r="A16" s="54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6"/>
    </row>
    <row r="17" spans="1:21" x14ac:dyDescent="0.3">
      <c r="A17" s="54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6"/>
    </row>
    <row r="18" spans="1:21" x14ac:dyDescent="0.3">
      <c r="A18" s="54"/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6"/>
    </row>
    <row r="19" spans="1:21" x14ac:dyDescent="0.3">
      <c r="A19" s="54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6"/>
    </row>
    <row r="20" spans="1:21" x14ac:dyDescent="0.3">
      <c r="A20" s="54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6"/>
    </row>
    <row r="21" spans="1:21" x14ac:dyDescent="0.3">
      <c r="A21" s="54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6"/>
    </row>
    <row r="22" spans="1:21" x14ac:dyDescent="0.3">
      <c r="A22" s="54"/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6"/>
    </row>
    <row r="23" spans="1:21" x14ac:dyDescent="0.3">
      <c r="A23" s="54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6"/>
    </row>
    <row r="24" spans="1:21" x14ac:dyDescent="0.3">
      <c r="A24" s="54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6"/>
    </row>
    <row r="25" spans="1:21" x14ac:dyDescent="0.3">
      <c r="A25" s="54"/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6"/>
    </row>
    <row r="26" spans="1:21" x14ac:dyDescent="0.3">
      <c r="A26" s="54"/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6"/>
    </row>
    <row r="27" spans="1:21" x14ac:dyDescent="0.3">
      <c r="A27" s="54"/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6"/>
    </row>
    <row r="28" spans="1:21" x14ac:dyDescent="0.3">
      <c r="A28" s="54"/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6"/>
    </row>
    <row r="29" spans="1:21" x14ac:dyDescent="0.3">
      <c r="A29" s="54"/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6"/>
    </row>
    <row r="30" spans="1:21" x14ac:dyDescent="0.3">
      <c r="A30" s="54"/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6"/>
    </row>
    <row r="31" spans="1:21" x14ac:dyDescent="0.3">
      <c r="A31" s="54"/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6"/>
    </row>
    <row r="32" spans="1:21" x14ac:dyDescent="0.3">
      <c r="A32" s="54"/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6"/>
    </row>
    <row r="33" spans="1:21" x14ac:dyDescent="0.3">
      <c r="A33" s="54"/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 t="s">
        <v>45</v>
      </c>
      <c r="T33" s="55"/>
      <c r="U33" s="56"/>
    </row>
    <row r="34" spans="1:21" x14ac:dyDescent="0.3">
      <c r="A34" s="54"/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6"/>
    </row>
    <row r="35" spans="1:21" x14ac:dyDescent="0.3">
      <c r="A35" s="54"/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6"/>
    </row>
    <row r="36" spans="1:21" x14ac:dyDescent="0.3">
      <c r="A36" s="54"/>
      <c r="B36" s="55"/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6"/>
    </row>
    <row r="37" spans="1:21" x14ac:dyDescent="0.3">
      <c r="A37" s="54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6"/>
    </row>
    <row r="38" spans="1:21" x14ac:dyDescent="0.3">
      <c r="A38" s="54"/>
      <c r="B38" s="55"/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6"/>
    </row>
    <row r="39" spans="1:21" x14ac:dyDescent="0.3">
      <c r="A39" s="54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6"/>
    </row>
    <row r="40" spans="1:21" x14ac:dyDescent="0.3">
      <c r="A40" s="54"/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6"/>
    </row>
    <row r="41" spans="1:21" x14ac:dyDescent="0.3">
      <c r="A41" s="54"/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6"/>
    </row>
    <row r="42" spans="1:21" x14ac:dyDescent="0.3">
      <c r="A42" s="54"/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6"/>
    </row>
    <row r="43" spans="1:21" x14ac:dyDescent="0.3">
      <c r="A43" s="54"/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6"/>
    </row>
    <row r="44" spans="1:21" x14ac:dyDescent="0.3">
      <c r="A44" s="54"/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6"/>
    </row>
    <row r="45" spans="1:21" x14ac:dyDescent="0.3">
      <c r="A45" s="54"/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6"/>
    </row>
    <row r="46" spans="1:21" x14ac:dyDescent="0.3">
      <c r="A46" s="54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6"/>
    </row>
    <row r="47" spans="1:21" x14ac:dyDescent="0.3">
      <c r="A47" s="54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6"/>
    </row>
    <row r="48" spans="1:21" x14ac:dyDescent="0.3">
      <c r="A48" s="54"/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6"/>
    </row>
    <row r="49" spans="1:21" x14ac:dyDescent="0.3">
      <c r="A49" s="54"/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6"/>
    </row>
    <row r="50" spans="1:21" x14ac:dyDescent="0.3">
      <c r="A50" s="54"/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6"/>
    </row>
    <row r="51" spans="1:21" x14ac:dyDescent="0.3">
      <c r="A51" s="58"/>
      <c r="B51" s="59"/>
      <c r="C51" s="59"/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60"/>
    </row>
  </sheetData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acro2">
                <anchor moveWithCells="1" sizeWithCells="1">
                  <from>
                    <xdr:col>18</xdr:col>
                    <xdr:colOff>336550</xdr:colOff>
                    <xdr:row>16</xdr:row>
                    <xdr:rowOff>152400</xdr:rowOff>
                  </from>
                  <to>
                    <xdr:col>20</xdr:col>
                    <xdr:colOff>342900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1831E-9A43-4B05-B576-E7CAF429D944}">
  <sheetPr codeName="Hoja3"/>
  <dimension ref="A1:AI946"/>
  <sheetViews>
    <sheetView zoomScale="85" zoomScaleNormal="85" workbookViewId="0">
      <pane xSplit="5" ySplit="1" topLeftCell="O27" activePane="bottomRight" state="frozen"/>
      <selection pane="topRight" activeCell="F1" sqref="F1"/>
      <selection pane="bottomLeft" activeCell="A2" sqref="A2"/>
      <selection pane="bottomRight" activeCell="AB37" sqref="AB37"/>
    </sheetView>
  </sheetViews>
  <sheetFormatPr baseColWidth="10" defaultColWidth="12.58203125" defaultRowHeight="15" customHeight="1" x14ac:dyDescent="0.3"/>
  <cols>
    <col min="1" max="1" width="6.08203125" style="1" customWidth="1"/>
    <col min="2" max="2" width="2.75" style="1" customWidth="1"/>
    <col min="3" max="3" width="4.08203125" style="1" customWidth="1"/>
    <col min="4" max="4" width="4.58203125" style="1" customWidth="1"/>
    <col min="5" max="5" width="16.5" style="1" customWidth="1"/>
    <col min="6" max="6" width="16.33203125" style="1" customWidth="1"/>
    <col min="7" max="7" width="16.58203125" style="1" customWidth="1"/>
    <col min="8" max="8" width="14.25" style="1" customWidth="1"/>
    <col min="9" max="9" width="14.08203125" style="1" customWidth="1"/>
    <col min="10" max="10" width="15" style="1" customWidth="1"/>
    <col min="11" max="11" width="17.58203125" style="1" customWidth="1"/>
    <col min="12" max="12" width="10.08203125" style="1" customWidth="1"/>
    <col min="13" max="13" width="11.33203125" style="1" customWidth="1"/>
    <col min="14" max="14" width="6.83203125" style="1" customWidth="1"/>
    <col min="15" max="16" width="6" style="1" customWidth="1"/>
    <col min="17" max="20" width="6.5" style="1" customWidth="1"/>
    <col min="21" max="21" width="9.83203125" style="1" customWidth="1"/>
    <col min="22" max="22" width="16.33203125" style="1" customWidth="1"/>
    <col min="23" max="23" width="12.08203125" style="1" customWidth="1"/>
    <col min="24" max="24" width="11.33203125" style="1" customWidth="1"/>
    <col min="25" max="26" width="9" style="1" customWidth="1"/>
    <col min="27" max="28" width="10.08203125" style="1" customWidth="1"/>
    <col min="29" max="29" width="9.5" style="1" hidden="1" customWidth="1"/>
    <col min="30" max="30" width="7.58203125" style="1" hidden="1" customWidth="1"/>
    <col min="31" max="31" width="7.08203125" style="1" hidden="1" customWidth="1"/>
    <col min="32" max="33" width="7.33203125" style="1" hidden="1" customWidth="1"/>
    <col min="34" max="34" width="10.08203125" style="1" hidden="1" customWidth="1"/>
    <col min="35" max="42" width="10.08203125" style="1" customWidth="1"/>
    <col min="43" max="16384" width="12.58203125" style="1"/>
  </cols>
  <sheetData>
    <row r="1" spans="1:35" ht="43.5" customHeight="1" x14ac:dyDescent="0.3">
      <c r="A1" s="10" t="s">
        <v>20</v>
      </c>
      <c r="B1" s="11" t="s">
        <v>21</v>
      </c>
      <c r="C1" s="10" t="s">
        <v>0</v>
      </c>
      <c r="D1" s="12" t="s">
        <v>22</v>
      </c>
      <c r="E1" s="13" t="s">
        <v>1</v>
      </c>
      <c r="F1" s="13" t="s">
        <v>16</v>
      </c>
      <c r="G1" s="13" t="s">
        <v>14</v>
      </c>
      <c r="H1" s="13" t="s">
        <v>5</v>
      </c>
      <c r="I1" s="13" t="s">
        <v>15</v>
      </c>
      <c r="J1" s="13" t="s">
        <v>17</v>
      </c>
      <c r="K1" s="14" t="s">
        <v>11</v>
      </c>
      <c r="L1" s="13" t="s">
        <v>10</v>
      </c>
      <c r="M1" s="13" t="s">
        <v>2</v>
      </c>
      <c r="N1" s="13" t="s">
        <v>12</v>
      </c>
      <c r="O1" s="13" t="s">
        <v>13</v>
      </c>
      <c r="P1" s="13" t="s">
        <v>46</v>
      </c>
      <c r="Q1" s="13" t="s">
        <v>18</v>
      </c>
      <c r="R1" s="14" t="s">
        <v>19</v>
      </c>
      <c r="S1" s="14" t="s">
        <v>24</v>
      </c>
      <c r="T1" s="14" t="s">
        <v>23</v>
      </c>
      <c r="U1" s="13" t="s">
        <v>3</v>
      </c>
      <c r="V1" s="15" t="s">
        <v>4</v>
      </c>
      <c r="W1" s="48" t="s">
        <v>40</v>
      </c>
      <c r="X1" s="48" t="s">
        <v>39</v>
      </c>
      <c r="Y1" s="48" t="s">
        <v>77</v>
      </c>
      <c r="Z1" s="48" t="s">
        <v>78</v>
      </c>
      <c r="AA1" s="16" t="s">
        <v>27</v>
      </c>
      <c r="AB1" s="16" t="s">
        <v>28</v>
      </c>
      <c r="AC1" s="81" t="s">
        <v>76</v>
      </c>
      <c r="AD1" s="16" t="s">
        <v>29</v>
      </c>
      <c r="AE1" s="16" t="s">
        <v>30</v>
      </c>
      <c r="AF1" s="8"/>
      <c r="AG1" s="8"/>
    </row>
    <row r="2" spans="1:35" ht="20.25" customHeight="1" x14ac:dyDescent="0.3">
      <c r="A2" s="17">
        <v>44075</v>
      </c>
      <c r="B2" s="37">
        <f>WEEKNUM(A2,2)</f>
        <v>36</v>
      </c>
      <c r="C2" s="61">
        <f t="shared" ref="C2:C16" si="0">+A2</f>
        <v>44075</v>
      </c>
      <c r="D2" s="36">
        <v>1</v>
      </c>
      <c r="E2" s="20"/>
      <c r="F2" s="77"/>
      <c r="G2" s="35"/>
      <c r="H2" s="22"/>
      <c r="I2" s="77"/>
      <c r="J2" s="35"/>
      <c r="K2" s="35"/>
      <c r="L2" s="23">
        <f t="shared" ref="L2:L16" si="1">+I2-F2</f>
        <v>0</v>
      </c>
      <c r="M2" s="22">
        <f t="shared" ref="M2:M16" si="2">+IF(E2="buy",J2-G2,G2-J2)</f>
        <v>0</v>
      </c>
      <c r="N2" s="24">
        <v>5</v>
      </c>
      <c r="O2" s="25">
        <v>1</v>
      </c>
      <c r="P2" s="25">
        <f t="shared" ref="P2:P16" si="3">+IF(J2&gt;0,O2*1,0)</f>
        <v>0</v>
      </c>
      <c r="Q2" s="26">
        <v>0</v>
      </c>
      <c r="R2" s="26">
        <v>0</v>
      </c>
      <c r="S2" s="26">
        <v>0</v>
      </c>
      <c r="T2" s="27">
        <v>0</v>
      </c>
      <c r="U2" s="28">
        <f t="shared" ref="U2:U16" si="4">+O2*N2*M2-P2</f>
        <v>0</v>
      </c>
      <c r="V2" s="22">
        <f>SUM(U2:U6)</f>
        <v>0</v>
      </c>
      <c r="W2" s="22">
        <v>1199</v>
      </c>
      <c r="X2" s="22">
        <f>+Tabla1[[#This Row],[Total Cuenta Real]]+Tabla1[[#This Row],[Objetivo presupuestado]]</f>
        <v>1199</v>
      </c>
      <c r="Y2" s="22" t="str">
        <f>IF(AF2=0,"0",10)</f>
        <v>0</v>
      </c>
      <c r="Z2" s="22" t="str">
        <f>IF(AF2=0,"0",50)</f>
        <v>0</v>
      </c>
      <c r="AA2" s="27">
        <f>+IFERROR(AF5/(AG5*-1),AF5)</f>
        <v>0</v>
      </c>
      <c r="AB2" s="82" t="str">
        <f>+IFERROR(AF6/AF2,"0")</f>
        <v>0</v>
      </c>
      <c r="AC2" s="29" t="str">
        <f t="shared" ref="AC2:AC16" si="5">+IF(G2&gt;0,1,"")</f>
        <v/>
      </c>
      <c r="AD2" s="30" t="str">
        <f t="shared" ref="AD2:AD16" si="6">+IF(M2&gt;0,M2,"")</f>
        <v/>
      </c>
      <c r="AE2" s="30" t="str">
        <f t="shared" ref="AE2:AE16" si="7">+IF(M2&lt;0,M2,"")</f>
        <v/>
      </c>
      <c r="AF2" s="9">
        <f>+COUNTIF(AC2:AC6,"1")</f>
        <v>0</v>
      </c>
      <c r="AH2" s="70" t="s">
        <v>25</v>
      </c>
      <c r="AI2" s="70" t="s">
        <v>6</v>
      </c>
    </row>
    <row r="3" spans="1:35" ht="20.25" customHeight="1" x14ac:dyDescent="0.3">
      <c r="A3" s="31">
        <f>+A2</f>
        <v>44075</v>
      </c>
      <c r="B3" s="38">
        <f t="shared" ref="B3:B6" si="8">+B2</f>
        <v>36</v>
      </c>
      <c r="C3" s="62">
        <f t="shared" si="0"/>
        <v>44075</v>
      </c>
      <c r="D3" s="36">
        <v>2</v>
      </c>
      <c r="E3" s="20"/>
      <c r="F3" s="21"/>
      <c r="G3" s="22"/>
      <c r="H3" s="22"/>
      <c r="I3" s="21"/>
      <c r="J3" s="22"/>
      <c r="K3" s="22"/>
      <c r="L3" s="23">
        <f t="shared" si="1"/>
        <v>0</v>
      </c>
      <c r="M3" s="22">
        <f t="shared" si="2"/>
        <v>0</v>
      </c>
      <c r="N3" s="24">
        <v>5</v>
      </c>
      <c r="O3" s="25">
        <v>1</v>
      </c>
      <c r="P3" s="25">
        <f t="shared" si="3"/>
        <v>0</v>
      </c>
      <c r="Q3" s="26"/>
      <c r="R3" s="26"/>
      <c r="S3" s="26"/>
      <c r="T3" s="27"/>
      <c r="U3" s="28">
        <f t="shared" si="4"/>
        <v>0</v>
      </c>
      <c r="V3" s="22"/>
      <c r="W3" s="22"/>
      <c r="X3" s="22"/>
      <c r="Y3" s="22"/>
      <c r="Z3" s="22"/>
      <c r="AA3" s="83"/>
      <c r="AB3" s="83"/>
      <c r="AC3" s="29" t="str">
        <f t="shared" si="5"/>
        <v/>
      </c>
      <c r="AD3" s="30" t="str">
        <f t="shared" si="6"/>
        <v/>
      </c>
      <c r="AE3" s="30" t="str">
        <f t="shared" si="7"/>
        <v/>
      </c>
      <c r="AF3" s="2"/>
      <c r="AH3" s="70" t="s">
        <v>26</v>
      </c>
      <c r="AI3" s="70" t="s">
        <v>7</v>
      </c>
    </row>
    <row r="4" spans="1:35" ht="20.25" customHeight="1" x14ac:dyDescent="0.3">
      <c r="A4" s="31">
        <f>+A3</f>
        <v>44075</v>
      </c>
      <c r="B4" s="38">
        <f t="shared" si="8"/>
        <v>36</v>
      </c>
      <c r="C4" s="62">
        <f t="shared" si="0"/>
        <v>44075</v>
      </c>
      <c r="D4" s="36">
        <v>3</v>
      </c>
      <c r="E4" s="20"/>
      <c r="F4" s="21"/>
      <c r="G4" s="22"/>
      <c r="H4" s="22"/>
      <c r="I4" s="21"/>
      <c r="J4" s="22"/>
      <c r="K4" s="22"/>
      <c r="L4" s="23">
        <f t="shared" si="1"/>
        <v>0</v>
      </c>
      <c r="M4" s="22">
        <f t="shared" si="2"/>
        <v>0</v>
      </c>
      <c r="N4" s="24">
        <v>5</v>
      </c>
      <c r="O4" s="25">
        <v>1</v>
      </c>
      <c r="P4" s="25">
        <f t="shared" si="3"/>
        <v>0</v>
      </c>
      <c r="Q4" s="26"/>
      <c r="R4" s="26"/>
      <c r="S4" s="26"/>
      <c r="T4" s="27"/>
      <c r="U4" s="28">
        <f t="shared" si="4"/>
        <v>0</v>
      </c>
      <c r="V4" s="22"/>
      <c r="W4" s="22"/>
      <c r="X4" s="22"/>
      <c r="Y4" s="22"/>
      <c r="Z4" s="22"/>
      <c r="AA4" s="40"/>
      <c r="AB4" s="40"/>
      <c r="AC4" s="29" t="str">
        <f t="shared" si="5"/>
        <v/>
      </c>
      <c r="AD4" s="30" t="str">
        <f t="shared" si="6"/>
        <v/>
      </c>
      <c r="AE4" s="30" t="str">
        <f t="shared" si="7"/>
        <v/>
      </c>
      <c r="AF4" s="2"/>
      <c r="AI4" s="70" t="s">
        <v>73</v>
      </c>
    </row>
    <row r="5" spans="1:35" ht="20.25" customHeight="1" x14ac:dyDescent="0.3">
      <c r="A5" s="31">
        <f>+A4</f>
        <v>44075</v>
      </c>
      <c r="B5" s="38">
        <f t="shared" si="8"/>
        <v>36</v>
      </c>
      <c r="C5" s="62">
        <f t="shared" si="0"/>
        <v>44075</v>
      </c>
      <c r="D5" s="36">
        <v>4</v>
      </c>
      <c r="E5" s="20"/>
      <c r="F5" s="21"/>
      <c r="G5" s="22"/>
      <c r="H5" s="22"/>
      <c r="I5" s="21"/>
      <c r="J5" s="22"/>
      <c r="K5" s="22"/>
      <c r="L5" s="23">
        <f t="shared" si="1"/>
        <v>0</v>
      </c>
      <c r="M5" s="22">
        <f t="shared" si="2"/>
        <v>0</v>
      </c>
      <c r="N5" s="24">
        <v>5</v>
      </c>
      <c r="O5" s="25">
        <v>1</v>
      </c>
      <c r="P5" s="25">
        <f t="shared" si="3"/>
        <v>0</v>
      </c>
      <c r="Q5" s="26"/>
      <c r="R5" s="26"/>
      <c r="S5" s="26"/>
      <c r="T5" s="27"/>
      <c r="U5" s="28">
        <f t="shared" si="4"/>
        <v>0</v>
      </c>
      <c r="V5" s="22"/>
      <c r="W5" s="22"/>
      <c r="X5" s="22"/>
      <c r="Y5" s="22"/>
      <c r="Z5" s="22"/>
      <c r="AA5" s="40"/>
      <c r="AB5" s="40"/>
      <c r="AC5" s="29" t="str">
        <f t="shared" si="5"/>
        <v/>
      </c>
      <c r="AD5" s="30" t="str">
        <f t="shared" si="6"/>
        <v/>
      </c>
      <c r="AE5" s="30" t="str">
        <f t="shared" si="7"/>
        <v/>
      </c>
      <c r="AF5" s="6">
        <f>+SUM(AD2:AD6)</f>
        <v>0</v>
      </c>
      <c r="AG5" s="6">
        <f>+SUM(AE1:AE6)</f>
        <v>0</v>
      </c>
      <c r="AI5" s="70" t="s">
        <v>74</v>
      </c>
    </row>
    <row r="6" spans="1:35" ht="20.25" customHeight="1" x14ac:dyDescent="0.3">
      <c r="A6" s="33">
        <f>+A5</f>
        <v>44075</v>
      </c>
      <c r="B6" s="39">
        <f t="shared" si="8"/>
        <v>36</v>
      </c>
      <c r="C6" s="63">
        <f t="shared" si="0"/>
        <v>44075</v>
      </c>
      <c r="D6" s="36">
        <v>5</v>
      </c>
      <c r="E6" s="20"/>
      <c r="F6" s="21"/>
      <c r="G6" s="22"/>
      <c r="H6" s="22"/>
      <c r="I6" s="21"/>
      <c r="J6" s="22"/>
      <c r="K6" s="22"/>
      <c r="L6" s="23">
        <f t="shared" si="1"/>
        <v>0</v>
      </c>
      <c r="M6" s="22">
        <f t="shared" si="2"/>
        <v>0</v>
      </c>
      <c r="N6" s="24">
        <v>5</v>
      </c>
      <c r="O6" s="25">
        <v>1</v>
      </c>
      <c r="P6" s="25">
        <f t="shared" si="3"/>
        <v>0</v>
      </c>
      <c r="Q6" s="26"/>
      <c r="R6" s="26"/>
      <c r="S6" s="26"/>
      <c r="T6" s="27"/>
      <c r="U6" s="28">
        <f t="shared" si="4"/>
        <v>0</v>
      </c>
      <c r="V6" s="22"/>
      <c r="W6" s="22"/>
      <c r="X6" s="22"/>
      <c r="Y6" s="22"/>
      <c r="Z6" s="22"/>
      <c r="AA6" s="40"/>
      <c r="AB6" s="40"/>
      <c r="AC6" s="29" t="str">
        <f t="shared" si="5"/>
        <v/>
      </c>
      <c r="AD6" s="30" t="str">
        <f t="shared" si="6"/>
        <v/>
      </c>
      <c r="AE6" s="30" t="str">
        <f t="shared" si="7"/>
        <v/>
      </c>
      <c r="AF6" s="7">
        <f>+COUNT(AD2:AD6)</f>
        <v>0</v>
      </c>
      <c r="AG6" s="7">
        <f>+COUNT(AE1:AE6)</f>
        <v>0</v>
      </c>
      <c r="AI6" s="70" t="s">
        <v>8</v>
      </c>
    </row>
    <row r="7" spans="1:35" ht="20.25" customHeight="1" x14ac:dyDescent="0.3">
      <c r="A7" s="17">
        <f>+A2+1</f>
        <v>44076</v>
      </c>
      <c r="B7" s="18">
        <f>WEEKNUM(A7,2)</f>
        <v>36</v>
      </c>
      <c r="C7" s="61">
        <f t="shared" si="0"/>
        <v>44076</v>
      </c>
      <c r="D7" s="19">
        <v>1</v>
      </c>
      <c r="E7" s="20"/>
      <c r="F7" s="21"/>
      <c r="G7" s="22"/>
      <c r="H7" s="22"/>
      <c r="I7" s="21"/>
      <c r="J7" s="22"/>
      <c r="K7" s="22"/>
      <c r="L7" s="23">
        <f t="shared" si="1"/>
        <v>0</v>
      </c>
      <c r="M7" s="22">
        <f t="shared" si="2"/>
        <v>0</v>
      </c>
      <c r="N7" s="24">
        <v>5</v>
      </c>
      <c r="O7" s="25">
        <v>1</v>
      </c>
      <c r="P7" s="25">
        <f t="shared" si="3"/>
        <v>0</v>
      </c>
      <c r="Q7" s="26"/>
      <c r="R7" s="26"/>
      <c r="S7" s="26"/>
      <c r="T7" s="27"/>
      <c r="U7" s="28">
        <f t="shared" si="4"/>
        <v>0</v>
      </c>
      <c r="V7" s="40">
        <f>SUM(U7:U11)</f>
        <v>0</v>
      </c>
      <c r="W7" s="84">
        <f>+Tabla1[[#This Row],[RESULTADO DEL DÍA]]+W2</f>
        <v>1199</v>
      </c>
      <c r="X7" s="22">
        <f>+X2+Tabla1[[#This Row],[Objetivo presupuestado]]</f>
        <v>1199</v>
      </c>
      <c r="Y7" s="22" t="str">
        <f t="shared" ref="Y7" si="9">IF(AF7=0,"0",10)</f>
        <v>0</v>
      </c>
      <c r="Z7" s="22" t="str">
        <f>IF(AF7=0,"0",50)</f>
        <v>0</v>
      </c>
      <c r="AA7" s="27">
        <f>+IFERROR(AF10/(AG10*-1),AF10)</f>
        <v>0</v>
      </c>
      <c r="AB7" s="85" t="str">
        <f>+IFERROR(AF11/AF7,"0")</f>
        <v>0</v>
      </c>
      <c r="AC7" s="29" t="str">
        <f t="shared" si="5"/>
        <v/>
      </c>
      <c r="AD7" s="30" t="str">
        <f t="shared" si="6"/>
        <v/>
      </c>
      <c r="AE7" s="30" t="str">
        <f t="shared" si="7"/>
        <v/>
      </c>
      <c r="AF7" s="9">
        <f>+COUNTIF(AC7:AC11,"1")</f>
        <v>0</v>
      </c>
      <c r="AI7" s="70" t="s">
        <v>9</v>
      </c>
    </row>
    <row r="8" spans="1:35" ht="20.25" customHeight="1" x14ac:dyDescent="0.3">
      <c r="A8" s="31">
        <f>+A7</f>
        <v>44076</v>
      </c>
      <c r="B8" s="32">
        <f t="shared" ref="B8:B11" si="10">+B7</f>
        <v>36</v>
      </c>
      <c r="C8" s="62">
        <f t="shared" si="0"/>
        <v>44076</v>
      </c>
      <c r="D8" s="19">
        <v>2</v>
      </c>
      <c r="E8" s="20"/>
      <c r="F8" s="21"/>
      <c r="G8" s="22"/>
      <c r="H8" s="22"/>
      <c r="I8" s="21"/>
      <c r="J8" s="22"/>
      <c r="K8" s="22"/>
      <c r="L8" s="23">
        <f t="shared" si="1"/>
        <v>0</v>
      </c>
      <c r="M8" s="22">
        <f t="shared" si="2"/>
        <v>0</v>
      </c>
      <c r="N8" s="24">
        <v>5</v>
      </c>
      <c r="O8" s="25">
        <v>1</v>
      </c>
      <c r="P8" s="25">
        <f t="shared" si="3"/>
        <v>0</v>
      </c>
      <c r="Q8" s="26"/>
      <c r="R8" s="26"/>
      <c r="S8" s="26"/>
      <c r="T8" s="27"/>
      <c r="U8" s="28">
        <f t="shared" si="4"/>
        <v>0</v>
      </c>
      <c r="V8" s="40"/>
      <c r="W8" s="40"/>
      <c r="X8" s="40"/>
      <c r="Y8" s="22"/>
      <c r="Z8" s="40"/>
      <c r="AA8" s="83"/>
      <c r="AB8" s="83"/>
      <c r="AC8" s="29" t="str">
        <f t="shared" si="5"/>
        <v/>
      </c>
      <c r="AD8" s="30" t="str">
        <f t="shared" si="6"/>
        <v/>
      </c>
      <c r="AE8" s="30" t="str">
        <f t="shared" si="7"/>
        <v/>
      </c>
      <c r="AF8" s="2"/>
    </row>
    <row r="9" spans="1:35" ht="20.25" customHeight="1" x14ac:dyDescent="0.3">
      <c r="A9" s="31">
        <f>+A8</f>
        <v>44076</v>
      </c>
      <c r="B9" s="32">
        <f t="shared" si="10"/>
        <v>36</v>
      </c>
      <c r="C9" s="62">
        <f t="shared" si="0"/>
        <v>44076</v>
      </c>
      <c r="D9" s="19">
        <v>3</v>
      </c>
      <c r="E9" s="20"/>
      <c r="F9" s="21"/>
      <c r="G9" s="22"/>
      <c r="H9" s="22"/>
      <c r="I9" s="21"/>
      <c r="J9" s="22"/>
      <c r="K9" s="35"/>
      <c r="L9" s="23">
        <f t="shared" si="1"/>
        <v>0</v>
      </c>
      <c r="M9" s="22">
        <f t="shared" si="2"/>
        <v>0</v>
      </c>
      <c r="N9" s="24">
        <v>5</v>
      </c>
      <c r="O9" s="25">
        <v>1</v>
      </c>
      <c r="P9" s="25">
        <f t="shared" si="3"/>
        <v>0</v>
      </c>
      <c r="Q9" s="26"/>
      <c r="R9" s="26"/>
      <c r="S9" s="26"/>
      <c r="T9" s="27"/>
      <c r="U9" s="28">
        <f t="shared" si="4"/>
        <v>0</v>
      </c>
      <c r="V9" s="40"/>
      <c r="W9" s="40"/>
      <c r="X9" s="40"/>
      <c r="Y9" s="22"/>
      <c r="Z9" s="40"/>
      <c r="AA9" s="40"/>
      <c r="AB9" s="40"/>
      <c r="AC9" s="29" t="str">
        <f t="shared" si="5"/>
        <v/>
      </c>
      <c r="AD9" s="30" t="str">
        <f t="shared" si="6"/>
        <v/>
      </c>
      <c r="AE9" s="30" t="str">
        <f t="shared" si="7"/>
        <v/>
      </c>
      <c r="AF9" s="2"/>
      <c r="AI9" s="75"/>
    </row>
    <row r="10" spans="1:35" ht="20.25" customHeight="1" x14ac:dyDescent="0.3">
      <c r="A10" s="31">
        <f>+A9</f>
        <v>44076</v>
      </c>
      <c r="B10" s="32">
        <f t="shared" si="10"/>
        <v>36</v>
      </c>
      <c r="C10" s="62">
        <f t="shared" si="0"/>
        <v>44076</v>
      </c>
      <c r="D10" s="19">
        <v>4</v>
      </c>
      <c r="E10" s="20"/>
      <c r="F10" s="21"/>
      <c r="G10" s="22"/>
      <c r="H10" s="22"/>
      <c r="I10" s="21"/>
      <c r="J10" s="22"/>
      <c r="K10" s="35"/>
      <c r="L10" s="23">
        <f t="shared" si="1"/>
        <v>0</v>
      </c>
      <c r="M10" s="22">
        <f t="shared" si="2"/>
        <v>0</v>
      </c>
      <c r="N10" s="24">
        <v>5</v>
      </c>
      <c r="O10" s="25">
        <v>1</v>
      </c>
      <c r="P10" s="25">
        <f t="shared" si="3"/>
        <v>0</v>
      </c>
      <c r="Q10" s="26"/>
      <c r="R10" s="26"/>
      <c r="S10" s="26"/>
      <c r="T10" s="27"/>
      <c r="U10" s="28">
        <f t="shared" si="4"/>
        <v>0</v>
      </c>
      <c r="V10" s="40"/>
      <c r="W10" s="40"/>
      <c r="X10" s="40"/>
      <c r="Y10" s="22"/>
      <c r="Z10" s="40"/>
      <c r="AA10" s="40"/>
      <c r="AB10" s="40"/>
      <c r="AC10" s="29" t="str">
        <f t="shared" si="5"/>
        <v/>
      </c>
      <c r="AD10" s="30" t="str">
        <f t="shared" si="6"/>
        <v/>
      </c>
      <c r="AE10" s="30" t="str">
        <f t="shared" si="7"/>
        <v/>
      </c>
      <c r="AF10" s="6">
        <f>+SUM(AD7:AD11)</f>
        <v>0</v>
      </c>
      <c r="AG10" s="6">
        <f>+SUM(AE6:AE11)</f>
        <v>0</v>
      </c>
    </row>
    <row r="11" spans="1:35" ht="20.25" customHeight="1" x14ac:dyDescent="0.3">
      <c r="A11" s="33">
        <f>+A10</f>
        <v>44076</v>
      </c>
      <c r="B11" s="34">
        <f t="shared" si="10"/>
        <v>36</v>
      </c>
      <c r="C11" s="63">
        <f t="shared" si="0"/>
        <v>44076</v>
      </c>
      <c r="D11" s="19">
        <v>5</v>
      </c>
      <c r="E11" s="20"/>
      <c r="F11" s="21"/>
      <c r="G11" s="22"/>
      <c r="H11" s="22"/>
      <c r="I11" s="21"/>
      <c r="J11" s="22"/>
      <c r="K11" s="35"/>
      <c r="L11" s="23">
        <f t="shared" si="1"/>
        <v>0</v>
      </c>
      <c r="M11" s="22">
        <f t="shared" si="2"/>
        <v>0</v>
      </c>
      <c r="N11" s="24">
        <v>5</v>
      </c>
      <c r="O11" s="25">
        <v>1</v>
      </c>
      <c r="P11" s="25">
        <f t="shared" si="3"/>
        <v>0</v>
      </c>
      <c r="Q11" s="26"/>
      <c r="R11" s="26"/>
      <c r="S11" s="26"/>
      <c r="T11" s="27"/>
      <c r="U11" s="28">
        <f t="shared" si="4"/>
        <v>0</v>
      </c>
      <c r="V11" s="40"/>
      <c r="W11" s="40"/>
      <c r="X11" s="40"/>
      <c r="Y11" s="22"/>
      <c r="Z11" s="40"/>
      <c r="AA11" s="40"/>
      <c r="AB11" s="40"/>
      <c r="AC11" s="29" t="str">
        <f t="shared" si="5"/>
        <v/>
      </c>
      <c r="AD11" s="30" t="str">
        <f t="shared" si="6"/>
        <v/>
      </c>
      <c r="AE11" s="30" t="str">
        <f t="shared" si="7"/>
        <v/>
      </c>
      <c r="AF11" s="7">
        <f>+COUNT(AD7:AD11)</f>
        <v>0</v>
      </c>
      <c r="AG11" s="7">
        <f>+COUNT(AE6:AE11)</f>
        <v>0</v>
      </c>
    </row>
    <row r="12" spans="1:35" ht="20.25" customHeight="1" x14ac:dyDescent="0.3">
      <c r="A12" s="17">
        <f>+A7+1</f>
        <v>44077</v>
      </c>
      <c r="B12" s="18">
        <f>WEEKNUM(A12,2)</f>
        <v>36</v>
      </c>
      <c r="C12" s="61">
        <f t="shared" si="0"/>
        <v>44077</v>
      </c>
      <c r="D12" s="19">
        <v>1</v>
      </c>
      <c r="E12" s="20"/>
      <c r="F12" s="21"/>
      <c r="G12" s="22"/>
      <c r="H12" s="22"/>
      <c r="I12" s="21"/>
      <c r="J12" s="22"/>
      <c r="K12" s="35"/>
      <c r="L12" s="23">
        <f t="shared" si="1"/>
        <v>0</v>
      </c>
      <c r="M12" s="22">
        <f t="shared" si="2"/>
        <v>0</v>
      </c>
      <c r="N12" s="24">
        <v>5</v>
      </c>
      <c r="O12" s="25">
        <v>1</v>
      </c>
      <c r="P12" s="25">
        <f t="shared" si="3"/>
        <v>0</v>
      </c>
      <c r="Q12" s="79" t="s">
        <v>80</v>
      </c>
      <c r="R12" s="79" t="s">
        <v>80</v>
      </c>
      <c r="S12" s="79" t="s">
        <v>80</v>
      </c>
      <c r="T12" s="80" t="s">
        <v>80</v>
      </c>
      <c r="U12" s="28">
        <f t="shared" si="4"/>
        <v>0</v>
      </c>
      <c r="V12" s="22">
        <f>SUM(U12:U16)</f>
        <v>0</v>
      </c>
      <c r="W12" s="84">
        <f>+Tabla1[[#This Row],[RESULTADO DEL DÍA]]+W7</f>
        <v>1199</v>
      </c>
      <c r="X12" s="22">
        <f>+X7+Tabla1[[#This Row],[Objetivo presupuestado]]</f>
        <v>1199</v>
      </c>
      <c r="Y12" s="22" t="str">
        <f t="shared" ref="Y12" si="11">IF(AF12=0,"0",10)</f>
        <v>0</v>
      </c>
      <c r="Z12" s="22" t="str">
        <f>IF(AF12=0,"0",50)</f>
        <v>0</v>
      </c>
      <c r="AA12" s="27">
        <f>+IFERROR(AF15/(AG15*-1),AF15)</f>
        <v>0</v>
      </c>
      <c r="AB12" s="85" t="str">
        <f>+IFERROR(AF16/AF12,"0")</f>
        <v>0</v>
      </c>
      <c r="AC12" s="29" t="str">
        <f t="shared" si="5"/>
        <v/>
      </c>
      <c r="AD12" s="30" t="str">
        <f t="shared" si="6"/>
        <v/>
      </c>
      <c r="AE12" s="30" t="str">
        <f t="shared" si="7"/>
        <v/>
      </c>
      <c r="AF12" s="9">
        <f>+COUNTIF(AC12:AC16,"1")</f>
        <v>0</v>
      </c>
    </row>
    <row r="13" spans="1:35" ht="20.25" customHeight="1" x14ac:dyDescent="0.3">
      <c r="A13" s="31">
        <f>+A12</f>
        <v>44077</v>
      </c>
      <c r="B13" s="32">
        <f t="shared" ref="B13:B78" si="12">+B12</f>
        <v>36</v>
      </c>
      <c r="C13" s="62">
        <f t="shared" si="0"/>
        <v>44077</v>
      </c>
      <c r="D13" s="19">
        <v>2</v>
      </c>
      <c r="E13" s="20"/>
      <c r="F13" s="21"/>
      <c r="G13" s="22"/>
      <c r="H13" s="22"/>
      <c r="I13" s="21"/>
      <c r="J13" s="22"/>
      <c r="K13" s="35"/>
      <c r="L13" s="23">
        <f t="shared" si="1"/>
        <v>0</v>
      </c>
      <c r="M13" s="22">
        <f t="shared" si="2"/>
        <v>0</v>
      </c>
      <c r="N13" s="24">
        <v>5</v>
      </c>
      <c r="O13" s="25">
        <v>1</v>
      </c>
      <c r="P13" s="25">
        <f t="shared" si="3"/>
        <v>0</v>
      </c>
      <c r="Q13" s="79" t="s">
        <v>80</v>
      </c>
      <c r="R13" s="79" t="s">
        <v>80</v>
      </c>
      <c r="S13" s="79" t="s">
        <v>80</v>
      </c>
      <c r="T13" s="80" t="s">
        <v>80</v>
      </c>
      <c r="U13" s="28">
        <f t="shared" si="4"/>
        <v>0</v>
      </c>
      <c r="V13" s="22"/>
      <c r="W13" s="22"/>
      <c r="X13" s="40"/>
      <c r="Y13" s="22"/>
      <c r="Z13" s="40"/>
      <c r="AA13" s="83"/>
      <c r="AB13" s="83"/>
      <c r="AC13" s="29" t="str">
        <f t="shared" si="5"/>
        <v/>
      </c>
      <c r="AD13" s="30" t="str">
        <f t="shared" si="6"/>
        <v/>
      </c>
      <c r="AE13" s="30" t="str">
        <f t="shared" si="7"/>
        <v/>
      </c>
      <c r="AF13" s="2"/>
    </row>
    <row r="14" spans="1:35" ht="20.25" customHeight="1" x14ac:dyDescent="0.3">
      <c r="A14" s="31">
        <f>+A13</f>
        <v>44077</v>
      </c>
      <c r="B14" s="32">
        <f t="shared" si="12"/>
        <v>36</v>
      </c>
      <c r="C14" s="62">
        <f t="shared" si="0"/>
        <v>44077</v>
      </c>
      <c r="D14" s="19">
        <v>3</v>
      </c>
      <c r="E14" s="20"/>
      <c r="F14" s="21"/>
      <c r="G14" s="22"/>
      <c r="H14" s="22"/>
      <c r="I14" s="21"/>
      <c r="J14" s="22"/>
      <c r="K14" s="22"/>
      <c r="L14" s="23">
        <f t="shared" si="1"/>
        <v>0</v>
      </c>
      <c r="M14" s="22">
        <f t="shared" si="2"/>
        <v>0</v>
      </c>
      <c r="N14" s="24">
        <v>5</v>
      </c>
      <c r="O14" s="25">
        <v>1</v>
      </c>
      <c r="P14" s="25">
        <f t="shared" si="3"/>
        <v>0</v>
      </c>
      <c r="Q14" s="26"/>
      <c r="R14" s="26"/>
      <c r="S14" s="26"/>
      <c r="T14" s="27"/>
      <c r="U14" s="28">
        <f t="shared" si="4"/>
        <v>0</v>
      </c>
      <c r="V14" s="22"/>
      <c r="W14" s="22"/>
      <c r="X14" s="40"/>
      <c r="Y14" s="22"/>
      <c r="Z14" s="40"/>
      <c r="AA14" s="40"/>
      <c r="AB14" s="40"/>
      <c r="AC14" s="29" t="str">
        <f t="shared" si="5"/>
        <v/>
      </c>
      <c r="AD14" s="30" t="str">
        <f t="shared" si="6"/>
        <v/>
      </c>
      <c r="AE14" s="30" t="str">
        <f t="shared" si="7"/>
        <v/>
      </c>
      <c r="AF14" s="2"/>
    </row>
    <row r="15" spans="1:35" ht="20.25" customHeight="1" x14ac:dyDescent="0.3">
      <c r="A15" s="31">
        <f>+A14</f>
        <v>44077</v>
      </c>
      <c r="B15" s="32">
        <f t="shared" si="12"/>
        <v>36</v>
      </c>
      <c r="C15" s="62">
        <f t="shared" si="0"/>
        <v>44077</v>
      </c>
      <c r="D15" s="19">
        <v>4</v>
      </c>
      <c r="E15" s="20"/>
      <c r="F15" s="21"/>
      <c r="G15" s="22"/>
      <c r="H15" s="22"/>
      <c r="I15" s="21"/>
      <c r="J15" s="22"/>
      <c r="K15" s="22"/>
      <c r="L15" s="23">
        <f t="shared" si="1"/>
        <v>0</v>
      </c>
      <c r="M15" s="22">
        <f t="shared" si="2"/>
        <v>0</v>
      </c>
      <c r="N15" s="24">
        <v>5</v>
      </c>
      <c r="O15" s="25">
        <v>1</v>
      </c>
      <c r="P15" s="25">
        <f t="shared" si="3"/>
        <v>0</v>
      </c>
      <c r="Q15" s="26"/>
      <c r="R15" s="26"/>
      <c r="S15" s="26"/>
      <c r="T15" s="27"/>
      <c r="U15" s="28">
        <f t="shared" si="4"/>
        <v>0</v>
      </c>
      <c r="V15" s="22"/>
      <c r="W15" s="22"/>
      <c r="X15" s="40"/>
      <c r="Y15" s="22"/>
      <c r="Z15" s="40"/>
      <c r="AA15" s="40"/>
      <c r="AB15" s="40"/>
      <c r="AC15" s="29" t="str">
        <f t="shared" si="5"/>
        <v/>
      </c>
      <c r="AD15" s="30" t="str">
        <f t="shared" si="6"/>
        <v/>
      </c>
      <c r="AE15" s="30" t="str">
        <f t="shared" si="7"/>
        <v/>
      </c>
      <c r="AF15" s="6">
        <f>+SUM(AD12:AD16)</f>
        <v>0</v>
      </c>
      <c r="AG15" s="6">
        <f>+SUM(AE11:AE16)</f>
        <v>0</v>
      </c>
    </row>
    <row r="16" spans="1:35" ht="20.25" customHeight="1" x14ac:dyDescent="0.3">
      <c r="A16" s="33">
        <f>+A15</f>
        <v>44077</v>
      </c>
      <c r="B16" s="34">
        <f t="shared" si="12"/>
        <v>36</v>
      </c>
      <c r="C16" s="63">
        <f t="shared" si="0"/>
        <v>44077</v>
      </c>
      <c r="D16" s="19">
        <v>5</v>
      </c>
      <c r="E16" s="20"/>
      <c r="F16" s="21"/>
      <c r="G16" s="22"/>
      <c r="H16" s="22"/>
      <c r="I16" s="21"/>
      <c r="J16" s="22"/>
      <c r="K16" s="22"/>
      <c r="L16" s="23">
        <f t="shared" si="1"/>
        <v>0</v>
      </c>
      <c r="M16" s="22">
        <f t="shared" si="2"/>
        <v>0</v>
      </c>
      <c r="N16" s="24">
        <v>5</v>
      </c>
      <c r="O16" s="25">
        <v>1</v>
      </c>
      <c r="P16" s="25">
        <f t="shared" si="3"/>
        <v>0</v>
      </c>
      <c r="Q16" s="26"/>
      <c r="R16" s="26"/>
      <c r="S16" s="26"/>
      <c r="T16" s="27"/>
      <c r="U16" s="28">
        <f t="shared" si="4"/>
        <v>0</v>
      </c>
      <c r="V16" s="22"/>
      <c r="W16" s="22"/>
      <c r="X16" s="40"/>
      <c r="Y16" s="22"/>
      <c r="Z16" s="40"/>
      <c r="AA16" s="40"/>
      <c r="AB16" s="40"/>
      <c r="AC16" s="29" t="str">
        <f t="shared" si="5"/>
        <v/>
      </c>
      <c r="AD16" s="30" t="str">
        <f t="shared" si="6"/>
        <v/>
      </c>
      <c r="AE16" s="30" t="str">
        <f t="shared" si="7"/>
        <v/>
      </c>
      <c r="AF16" s="7">
        <f>+COUNT(AD12:AD16)</f>
        <v>0</v>
      </c>
      <c r="AG16" s="7">
        <f>+COUNT(AE11:AE16)</f>
        <v>0</v>
      </c>
    </row>
    <row r="17" spans="1:33" ht="20.25" customHeight="1" x14ac:dyDescent="0.3">
      <c r="A17" s="17">
        <f>+A12+1</f>
        <v>44078</v>
      </c>
      <c r="B17" s="18">
        <f>WEEKNUM(A17,2)</f>
        <v>36</v>
      </c>
      <c r="C17" s="61">
        <f t="shared" ref="C17:C80" si="13">+A17</f>
        <v>44078</v>
      </c>
      <c r="D17" s="19">
        <v>1</v>
      </c>
      <c r="E17" s="20"/>
      <c r="F17" s="21"/>
      <c r="G17" s="22"/>
      <c r="H17" s="22"/>
      <c r="I17" s="21"/>
      <c r="J17" s="22"/>
      <c r="K17" s="22"/>
      <c r="L17" s="23">
        <f t="shared" ref="L17:L80" si="14">+I17-F17</f>
        <v>0</v>
      </c>
      <c r="M17" s="22">
        <f t="shared" ref="M17:M80" si="15">+IF(E17="buy",J17-G17,G17-J17)</f>
        <v>0</v>
      </c>
      <c r="N17" s="24">
        <v>5</v>
      </c>
      <c r="O17" s="25">
        <v>1</v>
      </c>
      <c r="P17" s="25">
        <f t="shared" ref="P17:P80" si="16">+IF(J17&gt;0,O17*1,0)</f>
        <v>0</v>
      </c>
      <c r="Q17" s="26"/>
      <c r="R17" s="26"/>
      <c r="S17" s="26"/>
      <c r="T17" s="27"/>
      <c r="U17" s="28">
        <f t="shared" ref="U17:U80" si="17">+O17*N17*M17-P17</f>
        <v>0</v>
      </c>
      <c r="V17" s="22">
        <f>SUM(U17:U21)</f>
        <v>0</v>
      </c>
      <c r="W17" s="84">
        <f>+Tabla1[[#This Row],[RESULTADO DEL DÍA]]+W12</f>
        <v>1199</v>
      </c>
      <c r="X17" s="22">
        <f>+X12+Tabla1[[#This Row],[Objetivo presupuestado]]</f>
        <v>1199</v>
      </c>
      <c r="Y17" s="22" t="str">
        <f t="shared" ref="Y17" si="18">IF(AF17=0,"0",10)</f>
        <v>0</v>
      </c>
      <c r="Z17" s="22" t="str">
        <f t="shared" ref="Z17" si="19">IF(AF17=0,"0",50)</f>
        <v>0</v>
      </c>
      <c r="AA17" s="27">
        <f>+IFERROR(AF20/(AG20*-1),AF20)</f>
        <v>0</v>
      </c>
      <c r="AB17" s="85" t="str">
        <f>+IFERROR(AF21/AF17,"0")</f>
        <v>0</v>
      </c>
      <c r="AC17" s="29" t="str">
        <f t="shared" ref="AC17:AC80" si="20">+IF(G17&gt;0,1,"")</f>
        <v/>
      </c>
      <c r="AD17" s="30" t="str">
        <f t="shared" ref="AD17:AD80" si="21">+IF(M17&gt;0,M17,"")</f>
        <v/>
      </c>
      <c r="AE17" s="30" t="str">
        <f t="shared" ref="AE17:AE80" si="22">+IF(M17&lt;0,M17,"")</f>
        <v/>
      </c>
      <c r="AF17" s="9">
        <f>+COUNTIF(AC17:AC21,"1")</f>
        <v>0</v>
      </c>
    </row>
    <row r="18" spans="1:33" ht="20.25" customHeight="1" x14ac:dyDescent="0.3">
      <c r="A18" s="31">
        <f>+A17</f>
        <v>44078</v>
      </c>
      <c r="B18" s="32">
        <f t="shared" si="12"/>
        <v>36</v>
      </c>
      <c r="C18" s="62">
        <f t="shared" si="13"/>
        <v>44078</v>
      </c>
      <c r="D18" s="19">
        <v>2</v>
      </c>
      <c r="E18" s="20"/>
      <c r="F18" s="21"/>
      <c r="G18" s="22"/>
      <c r="H18" s="22"/>
      <c r="I18" s="21"/>
      <c r="J18" s="22"/>
      <c r="K18" s="22"/>
      <c r="L18" s="23">
        <f t="shared" si="14"/>
        <v>0</v>
      </c>
      <c r="M18" s="22">
        <f t="shared" si="15"/>
        <v>0</v>
      </c>
      <c r="N18" s="24">
        <v>5</v>
      </c>
      <c r="O18" s="25">
        <v>1</v>
      </c>
      <c r="P18" s="25">
        <f t="shared" si="16"/>
        <v>0</v>
      </c>
      <c r="Q18" s="26"/>
      <c r="R18" s="26"/>
      <c r="S18" s="26"/>
      <c r="T18" s="27"/>
      <c r="U18" s="28">
        <f t="shared" si="17"/>
        <v>0</v>
      </c>
      <c r="V18" s="22"/>
      <c r="W18" s="22"/>
      <c r="X18" s="40"/>
      <c r="Y18" s="22"/>
      <c r="Z18" s="40"/>
      <c r="AA18" s="83"/>
      <c r="AB18" s="83"/>
      <c r="AC18" s="29" t="str">
        <f t="shared" si="20"/>
        <v/>
      </c>
      <c r="AD18" s="30" t="str">
        <f t="shared" si="21"/>
        <v/>
      </c>
      <c r="AE18" s="30" t="str">
        <f t="shared" si="22"/>
        <v/>
      </c>
      <c r="AF18" s="2"/>
    </row>
    <row r="19" spans="1:33" ht="20.25" customHeight="1" x14ac:dyDescent="0.3">
      <c r="A19" s="31">
        <f>+A18</f>
        <v>44078</v>
      </c>
      <c r="B19" s="32">
        <f t="shared" si="12"/>
        <v>36</v>
      </c>
      <c r="C19" s="62">
        <f t="shared" si="13"/>
        <v>44078</v>
      </c>
      <c r="D19" s="19">
        <v>3</v>
      </c>
      <c r="E19" s="20"/>
      <c r="F19" s="21"/>
      <c r="G19" s="22"/>
      <c r="H19" s="22"/>
      <c r="I19" s="21"/>
      <c r="J19" s="22"/>
      <c r="K19" s="22"/>
      <c r="L19" s="23">
        <f t="shared" si="14"/>
        <v>0</v>
      </c>
      <c r="M19" s="22">
        <f t="shared" si="15"/>
        <v>0</v>
      </c>
      <c r="N19" s="24">
        <v>5</v>
      </c>
      <c r="O19" s="25">
        <v>1</v>
      </c>
      <c r="P19" s="25">
        <f t="shared" si="16"/>
        <v>0</v>
      </c>
      <c r="Q19" s="26"/>
      <c r="R19" s="26"/>
      <c r="S19" s="26"/>
      <c r="T19" s="27"/>
      <c r="U19" s="28">
        <f t="shared" si="17"/>
        <v>0</v>
      </c>
      <c r="V19" s="22"/>
      <c r="W19" s="22"/>
      <c r="X19" s="40"/>
      <c r="Y19" s="22"/>
      <c r="Z19" s="40"/>
      <c r="AA19" s="40"/>
      <c r="AB19" s="40"/>
      <c r="AC19" s="29" t="str">
        <f t="shared" si="20"/>
        <v/>
      </c>
      <c r="AD19" s="30" t="str">
        <f t="shared" si="21"/>
        <v/>
      </c>
      <c r="AE19" s="30" t="str">
        <f t="shared" si="22"/>
        <v/>
      </c>
      <c r="AF19" s="2"/>
    </row>
    <row r="20" spans="1:33" ht="20.25" customHeight="1" x14ac:dyDescent="0.3">
      <c r="A20" s="31">
        <f>+A19</f>
        <v>44078</v>
      </c>
      <c r="B20" s="32">
        <f t="shared" si="12"/>
        <v>36</v>
      </c>
      <c r="C20" s="62">
        <f t="shared" si="13"/>
        <v>44078</v>
      </c>
      <c r="D20" s="19">
        <v>4</v>
      </c>
      <c r="E20" s="20"/>
      <c r="F20" s="21"/>
      <c r="G20" s="22"/>
      <c r="H20" s="22"/>
      <c r="I20" s="21"/>
      <c r="J20" s="22"/>
      <c r="K20" s="22"/>
      <c r="L20" s="23">
        <f t="shared" si="14"/>
        <v>0</v>
      </c>
      <c r="M20" s="22">
        <f t="shared" si="15"/>
        <v>0</v>
      </c>
      <c r="N20" s="24">
        <v>5</v>
      </c>
      <c r="O20" s="25">
        <v>1</v>
      </c>
      <c r="P20" s="25">
        <f t="shared" si="16"/>
        <v>0</v>
      </c>
      <c r="Q20" s="26"/>
      <c r="R20" s="26"/>
      <c r="S20" s="26"/>
      <c r="T20" s="27"/>
      <c r="U20" s="28">
        <f t="shared" si="17"/>
        <v>0</v>
      </c>
      <c r="V20" s="22"/>
      <c r="W20" s="22"/>
      <c r="X20" s="40"/>
      <c r="Y20" s="22"/>
      <c r="Z20" s="40"/>
      <c r="AA20" s="40"/>
      <c r="AB20" s="40"/>
      <c r="AC20" s="29" t="str">
        <f t="shared" si="20"/>
        <v/>
      </c>
      <c r="AD20" s="30" t="str">
        <f t="shared" si="21"/>
        <v/>
      </c>
      <c r="AE20" s="30" t="str">
        <f t="shared" si="22"/>
        <v/>
      </c>
      <c r="AF20" s="6">
        <f>+SUM(AD17:AD21)</f>
        <v>0</v>
      </c>
      <c r="AG20" s="6">
        <f>+SUM(AE16:AE21)</f>
        <v>0</v>
      </c>
    </row>
    <row r="21" spans="1:33" ht="20.25" customHeight="1" x14ac:dyDescent="0.3">
      <c r="A21" s="33">
        <f>+A20</f>
        <v>44078</v>
      </c>
      <c r="B21" s="34">
        <f t="shared" si="12"/>
        <v>36</v>
      </c>
      <c r="C21" s="63">
        <f t="shared" si="13"/>
        <v>44078</v>
      </c>
      <c r="D21" s="19">
        <v>5</v>
      </c>
      <c r="E21" s="20"/>
      <c r="F21" s="21"/>
      <c r="G21" s="22"/>
      <c r="H21" s="22"/>
      <c r="I21" s="21"/>
      <c r="J21" s="22"/>
      <c r="K21" s="22"/>
      <c r="L21" s="23">
        <f t="shared" si="14"/>
        <v>0</v>
      </c>
      <c r="M21" s="22">
        <f t="shared" si="15"/>
        <v>0</v>
      </c>
      <c r="N21" s="24">
        <v>5</v>
      </c>
      <c r="O21" s="25">
        <v>1</v>
      </c>
      <c r="P21" s="25">
        <f t="shared" si="16"/>
        <v>0</v>
      </c>
      <c r="Q21" s="26"/>
      <c r="R21" s="26"/>
      <c r="S21" s="26"/>
      <c r="T21" s="27"/>
      <c r="U21" s="28">
        <f t="shared" si="17"/>
        <v>0</v>
      </c>
      <c r="V21" s="22"/>
      <c r="W21" s="22"/>
      <c r="X21" s="40"/>
      <c r="Y21" s="22"/>
      <c r="Z21" s="40"/>
      <c r="AA21" s="40"/>
      <c r="AB21" s="40"/>
      <c r="AC21" s="29" t="str">
        <f t="shared" si="20"/>
        <v/>
      </c>
      <c r="AD21" s="30" t="str">
        <f t="shared" si="21"/>
        <v/>
      </c>
      <c r="AE21" s="30" t="str">
        <f t="shared" si="22"/>
        <v/>
      </c>
      <c r="AF21" s="7">
        <f>+COUNT(AD17:AD21)</f>
        <v>0</v>
      </c>
      <c r="AG21" s="7">
        <f>+COUNT(AE16:AE21)</f>
        <v>0</v>
      </c>
    </row>
    <row r="22" spans="1:33" ht="20.25" customHeight="1" x14ac:dyDescent="0.3">
      <c r="A22" s="17">
        <f>+A17+1</f>
        <v>44079</v>
      </c>
      <c r="B22" s="18">
        <f>WEEKNUM(A22,2)</f>
        <v>36</v>
      </c>
      <c r="C22" s="61">
        <f t="shared" si="13"/>
        <v>44079</v>
      </c>
      <c r="D22" s="19">
        <v>1</v>
      </c>
      <c r="E22" s="20"/>
      <c r="F22" s="21"/>
      <c r="G22" s="22"/>
      <c r="H22" s="22"/>
      <c r="I22" s="21"/>
      <c r="J22" s="22"/>
      <c r="K22" s="22"/>
      <c r="L22" s="23">
        <f t="shared" si="14"/>
        <v>0</v>
      </c>
      <c r="M22" s="22">
        <f t="shared" si="15"/>
        <v>0</v>
      </c>
      <c r="N22" s="24">
        <v>5</v>
      </c>
      <c r="O22" s="25">
        <v>1</v>
      </c>
      <c r="P22" s="25">
        <f t="shared" si="16"/>
        <v>0</v>
      </c>
      <c r="Q22" s="26"/>
      <c r="R22" s="26"/>
      <c r="S22" s="26"/>
      <c r="T22" s="27"/>
      <c r="U22" s="28">
        <f t="shared" si="17"/>
        <v>0</v>
      </c>
      <c r="V22" s="22">
        <f>SUM(U22:U26)</f>
        <v>0</v>
      </c>
      <c r="W22" s="84">
        <f>+Tabla1[[#This Row],[RESULTADO DEL DÍA]]+W17</f>
        <v>1199</v>
      </c>
      <c r="X22" s="22">
        <f>+X17+Tabla1[[#This Row],[Objetivo presupuestado]]</f>
        <v>1199</v>
      </c>
      <c r="Y22" s="22" t="str">
        <f t="shared" ref="Y22" si="23">IF(AF22=0,"0",10)</f>
        <v>0</v>
      </c>
      <c r="Z22" s="22" t="str">
        <f t="shared" ref="Z22" si="24">IF(AF22=0,"0",50)</f>
        <v>0</v>
      </c>
      <c r="AA22" s="27">
        <f>+IFERROR(AF25/(AG25*-1),AF25)</f>
        <v>0</v>
      </c>
      <c r="AB22" s="85" t="str">
        <f>+IFERROR(AF26/AF22,"0")</f>
        <v>0</v>
      </c>
      <c r="AC22" s="29" t="str">
        <f t="shared" si="20"/>
        <v/>
      </c>
      <c r="AD22" s="30" t="str">
        <f t="shared" si="21"/>
        <v/>
      </c>
      <c r="AE22" s="30" t="str">
        <f t="shared" si="22"/>
        <v/>
      </c>
      <c r="AF22" s="9">
        <f>+COUNTIF(AC22:AC26,"1")</f>
        <v>0</v>
      </c>
    </row>
    <row r="23" spans="1:33" ht="20.25" customHeight="1" x14ac:dyDescent="0.3">
      <c r="A23" s="31">
        <f>+A22</f>
        <v>44079</v>
      </c>
      <c r="B23" s="32">
        <f t="shared" si="12"/>
        <v>36</v>
      </c>
      <c r="C23" s="62">
        <f t="shared" si="13"/>
        <v>44079</v>
      </c>
      <c r="D23" s="19">
        <v>2</v>
      </c>
      <c r="E23" s="20"/>
      <c r="F23" s="21"/>
      <c r="G23" s="22"/>
      <c r="H23" s="22"/>
      <c r="I23" s="21"/>
      <c r="J23" s="22"/>
      <c r="K23" s="22"/>
      <c r="L23" s="23">
        <f t="shared" si="14"/>
        <v>0</v>
      </c>
      <c r="M23" s="22">
        <f t="shared" si="15"/>
        <v>0</v>
      </c>
      <c r="N23" s="24">
        <v>5</v>
      </c>
      <c r="O23" s="25">
        <v>1</v>
      </c>
      <c r="P23" s="25">
        <f t="shared" si="16"/>
        <v>0</v>
      </c>
      <c r="Q23" s="26"/>
      <c r="R23" s="26"/>
      <c r="S23" s="26"/>
      <c r="T23" s="27"/>
      <c r="U23" s="28">
        <f t="shared" si="17"/>
        <v>0</v>
      </c>
      <c r="V23" s="22"/>
      <c r="W23" s="22"/>
      <c r="X23" s="40"/>
      <c r="Y23" s="22"/>
      <c r="Z23" s="40"/>
      <c r="AA23" s="83"/>
      <c r="AB23" s="83"/>
      <c r="AC23" s="29" t="str">
        <f t="shared" si="20"/>
        <v/>
      </c>
      <c r="AD23" s="30" t="str">
        <f t="shared" si="21"/>
        <v/>
      </c>
      <c r="AE23" s="30" t="str">
        <f t="shared" si="22"/>
        <v/>
      </c>
      <c r="AF23" s="2"/>
    </row>
    <row r="24" spans="1:33" ht="20.25" customHeight="1" x14ac:dyDescent="0.3">
      <c r="A24" s="31">
        <f>+A23</f>
        <v>44079</v>
      </c>
      <c r="B24" s="32">
        <f t="shared" si="12"/>
        <v>36</v>
      </c>
      <c r="C24" s="62">
        <f t="shared" si="13"/>
        <v>44079</v>
      </c>
      <c r="D24" s="19">
        <v>3</v>
      </c>
      <c r="E24" s="20"/>
      <c r="F24" s="21"/>
      <c r="G24" s="22"/>
      <c r="H24" s="22"/>
      <c r="I24" s="21"/>
      <c r="J24" s="22"/>
      <c r="K24" s="22"/>
      <c r="L24" s="23">
        <f t="shared" si="14"/>
        <v>0</v>
      </c>
      <c r="M24" s="22">
        <f t="shared" si="15"/>
        <v>0</v>
      </c>
      <c r="N24" s="24">
        <v>5</v>
      </c>
      <c r="O24" s="25">
        <v>1</v>
      </c>
      <c r="P24" s="25">
        <f t="shared" si="16"/>
        <v>0</v>
      </c>
      <c r="Q24" s="26"/>
      <c r="R24" s="26"/>
      <c r="S24" s="26"/>
      <c r="T24" s="27"/>
      <c r="U24" s="28">
        <f t="shared" si="17"/>
        <v>0</v>
      </c>
      <c r="V24" s="22"/>
      <c r="W24" s="22"/>
      <c r="X24" s="40"/>
      <c r="Y24" s="22"/>
      <c r="Z24" s="40"/>
      <c r="AA24" s="40"/>
      <c r="AB24" s="40"/>
      <c r="AC24" s="29" t="str">
        <f t="shared" si="20"/>
        <v/>
      </c>
      <c r="AD24" s="30" t="str">
        <f t="shared" si="21"/>
        <v/>
      </c>
      <c r="AE24" s="30" t="str">
        <f t="shared" si="22"/>
        <v/>
      </c>
      <c r="AF24" s="2"/>
    </row>
    <row r="25" spans="1:33" ht="20.25" customHeight="1" x14ac:dyDescent="0.3">
      <c r="A25" s="31">
        <f>+A24</f>
        <v>44079</v>
      </c>
      <c r="B25" s="32">
        <f t="shared" si="12"/>
        <v>36</v>
      </c>
      <c r="C25" s="62">
        <f t="shared" si="13"/>
        <v>44079</v>
      </c>
      <c r="D25" s="19">
        <v>4</v>
      </c>
      <c r="E25" s="20"/>
      <c r="F25" s="21"/>
      <c r="G25" s="22"/>
      <c r="H25" s="22"/>
      <c r="I25" s="21"/>
      <c r="J25" s="22"/>
      <c r="K25" s="22"/>
      <c r="L25" s="23">
        <f t="shared" si="14"/>
        <v>0</v>
      </c>
      <c r="M25" s="22">
        <f t="shared" si="15"/>
        <v>0</v>
      </c>
      <c r="N25" s="24">
        <v>5</v>
      </c>
      <c r="O25" s="25">
        <v>1</v>
      </c>
      <c r="P25" s="25">
        <f t="shared" si="16"/>
        <v>0</v>
      </c>
      <c r="Q25" s="26"/>
      <c r="R25" s="26"/>
      <c r="S25" s="26"/>
      <c r="T25" s="27"/>
      <c r="U25" s="28">
        <f t="shared" si="17"/>
        <v>0</v>
      </c>
      <c r="V25" s="22"/>
      <c r="W25" s="22"/>
      <c r="X25" s="40"/>
      <c r="Y25" s="22"/>
      <c r="Z25" s="40"/>
      <c r="AA25" s="40"/>
      <c r="AB25" s="40"/>
      <c r="AC25" s="29" t="str">
        <f t="shared" si="20"/>
        <v/>
      </c>
      <c r="AD25" s="30" t="str">
        <f t="shared" si="21"/>
        <v/>
      </c>
      <c r="AE25" s="30" t="str">
        <f t="shared" si="22"/>
        <v/>
      </c>
      <c r="AF25" s="6">
        <f>+SUM(AD22:AD26)</f>
        <v>0</v>
      </c>
      <c r="AG25" s="6">
        <f>+SUM(AE21:AE26)</f>
        <v>0</v>
      </c>
    </row>
    <row r="26" spans="1:33" ht="20.25" customHeight="1" x14ac:dyDescent="0.3">
      <c r="A26" s="33">
        <f>+A25</f>
        <v>44079</v>
      </c>
      <c r="B26" s="34">
        <f t="shared" si="12"/>
        <v>36</v>
      </c>
      <c r="C26" s="63">
        <f t="shared" si="13"/>
        <v>44079</v>
      </c>
      <c r="D26" s="19">
        <v>5</v>
      </c>
      <c r="E26" s="20"/>
      <c r="F26" s="21"/>
      <c r="G26" s="22"/>
      <c r="H26" s="22"/>
      <c r="I26" s="21"/>
      <c r="J26" s="22"/>
      <c r="K26" s="22"/>
      <c r="L26" s="23">
        <f t="shared" si="14"/>
        <v>0</v>
      </c>
      <c r="M26" s="22">
        <f t="shared" si="15"/>
        <v>0</v>
      </c>
      <c r="N26" s="24">
        <v>5</v>
      </c>
      <c r="O26" s="25">
        <v>1</v>
      </c>
      <c r="P26" s="25">
        <f t="shared" si="16"/>
        <v>0</v>
      </c>
      <c r="Q26" s="26"/>
      <c r="R26" s="26"/>
      <c r="S26" s="26"/>
      <c r="T26" s="27"/>
      <c r="U26" s="28">
        <f t="shared" si="17"/>
        <v>0</v>
      </c>
      <c r="V26" s="22"/>
      <c r="W26" s="22"/>
      <c r="X26" s="40"/>
      <c r="Y26" s="22"/>
      <c r="Z26" s="40"/>
      <c r="AA26" s="40"/>
      <c r="AB26" s="40"/>
      <c r="AC26" s="29" t="str">
        <f t="shared" si="20"/>
        <v/>
      </c>
      <c r="AD26" s="30" t="str">
        <f t="shared" si="21"/>
        <v/>
      </c>
      <c r="AE26" s="30" t="str">
        <f t="shared" si="22"/>
        <v/>
      </c>
      <c r="AF26" s="7">
        <f>+COUNT(AD22:AD26)</f>
        <v>0</v>
      </c>
      <c r="AG26" s="7">
        <f>+COUNT(AE21:AE26)</f>
        <v>0</v>
      </c>
    </row>
    <row r="27" spans="1:33" ht="20.25" customHeight="1" x14ac:dyDescent="0.3">
      <c r="A27" s="17">
        <f>+A22+1</f>
        <v>44080</v>
      </c>
      <c r="B27" s="18">
        <f>WEEKNUM(A27,2)</f>
        <v>36</v>
      </c>
      <c r="C27" s="61">
        <f t="shared" si="13"/>
        <v>44080</v>
      </c>
      <c r="D27" s="19">
        <v>1</v>
      </c>
      <c r="E27" s="20"/>
      <c r="F27" s="21"/>
      <c r="G27" s="22"/>
      <c r="H27" s="22"/>
      <c r="I27" s="21"/>
      <c r="J27" s="22"/>
      <c r="K27" s="22"/>
      <c r="L27" s="23">
        <f t="shared" si="14"/>
        <v>0</v>
      </c>
      <c r="M27" s="22">
        <f t="shared" si="15"/>
        <v>0</v>
      </c>
      <c r="N27" s="24">
        <v>5</v>
      </c>
      <c r="O27" s="25">
        <v>1</v>
      </c>
      <c r="P27" s="25">
        <f t="shared" si="16"/>
        <v>0</v>
      </c>
      <c r="Q27" s="26"/>
      <c r="R27" s="26"/>
      <c r="S27" s="26"/>
      <c r="T27" s="27"/>
      <c r="U27" s="28">
        <f t="shared" si="17"/>
        <v>0</v>
      </c>
      <c r="V27" s="22">
        <f>SUM(U27:U31)</f>
        <v>0</v>
      </c>
      <c r="W27" s="84">
        <f>+Tabla1[[#This Row],[RESULTADO DEL DÍA]]+W22</f>
        <v>1199</v>
      </c>
      <c r="X27" s="22">
        <f>+X22+Tabla1[[#This Row],[Objetivo presupuestado]]</f>
        <v>1199</v>
      </c>
      <c r="Y27" s="22" t="str">
        <f t="shared" ref="Y27" si="25">IF(AF27=0,"0",10)</f>
        <v>0</v>
      </c>
      <c r="Z27" s="22" t="str">
        <f t="shared" ref="Z27" si="26">IF(AF27=0,"0",50)</f>
        <v>0</v>
      </c>
      <c r="AA27" s="27">
        <f>+IFERROR(AF30/(AG30*-1),AF30)</f>
        <v>0</v>
      </c>
      <c r="AB27" s="85" t="str">
        <f>+IFERROR(AF31/AF27,"0")</f>
        <v>0</v>
      </c>
      <c r="AC27" s="29" t="str">
        <f t="shared" si="20"/>
        <v/>
      </c>
      <c r="AD27" s="30" t="str">
        <f t="shared" si="21"/>
        <v/>
      </c>
      <c r="AE27" s="30" t="str">
        <f t="shared" si="22"/>
        <v/>
      </c>
      <c r="AF27" s="9">
        <f>+COUNTIF(AC27:AC31,"1")</f>
        <v>0</v>
      </c>
    </row>
    <row r="28" spans="1:33" ht="20.25" customHeight="1" x14ac:dyDescent="0.3">
      <c r="A28" s="31">
        <f>+A27</f>
        <v>44080</v>
      </c>
      <c r="B28" s="32">
        <f t="shared" si="12"/>
        <v>36</v>
      </c>
      <c r="C28" s="62">
        <f t="shared" si="13"/>
        <v>44080</v>
      </c>
      <c r="D28" s="19">
        <v>2</v>
      </c>
      <c r="E28" s="20"/>
      <c r="F28" s="21"/>
      <c r="G28" s="22"/>
      <c r="H28" s="22"/>
      <c r="I28" s="21"/>
      <c r="J28" s="22"/>
      <c r="K28" s="22"/>
      <c r="L28" s="23">
        <f t="shared" si="14"/>
        <v>0</v>
      </c>
      <c r="M28" s="22">
        <f t="shared" si="15"/>
        <v>0</v>
      </c>
      <c r="N28" s="24">
        <v>5</v>
      </c>
      <c r="O28" s="25">
        <v>1</v>
      </c>
      <c r="P28" s="25">
        <f t="shared" si="16"/>
        <v>0</v>
      </c>
      <c r="Q28" s="26"/>
      <c r="R28" s="26"/>
      <c r="S28" s="26"/>
      <c r="T28" s="27"/>
      <c r="U28" s="28">
        <f t="shared" si="17"/>
        <v>0</v>
      </c>
      <c r="V28" s="22"/>
      <c r="W28" s="22"/>
      <c r="X28" s="40"/>
      <c r="Y28" s="22"/>
      <c r="Z28" s="40"/>
      <c r="AA28" s="83"/>
      <c r="AB28" s="83"/>
      <c r="AC28" s="29" t="str">
        <f t="shared" si="20"/>
        <v/>
      </c>
      <c r="AD28" s="30" t="str">
        <f t="shared" si="21"/>
        <v/>
      </c>
      <c r="AE28" s="30" t="str">
        <f t="shared" si="22"/>
        <v/>
      </c>
      <c r="AF28" s="2"/>
    </row>
    <row r="29" spans="1:33" ht="20.25" customHeight="1" x14ac:dyDescent="0.3">
      <c r="A29" s="31">
        <f>+A28</f>
        <v>44080</v>
      </c>
      <c r="B29" s="32">
        <f t="shared" si="12"/>
        <v>36</v>
      </c>
      <c r="C29" s="62">
        <f t="shared" si="13"/>
        <v>44080</v>
      </c>
      <c r="D29" s="19">
        <v>3</v>
      </c>
      <c r="E29" s="20"/>
      <c r="F29" s="21"/>
      <c r="G29" s="22"/>
      <c r="H29" s="22"/>
      <c r="I29" s="21"/>
      <c r="J29" s="22"/>
      <c r="K29" s="22"/>
      <c r="L29" s="23">
        <f t="shared" si="14"/>
        <v>0</v>
      </c>
      <c r="M29" s="22">
        <f t="shared" si="15"/>
        <v>0</v>
      </c>
      <c r="N29" s="24">
        <v>5</v>
      </c>
      <c r="O29" s="25">
        <v>1</v>
      </c>
      <c r="P29" s="25">
        <f t="shared" si="16"/>
        <v>0</v>
      </c>
      <c r="Q29" s="26"/>
      <c r="R29" s="26"/>
      <c r="S29" s="26"/>
      <c r="T29" s="27"/>
      <c r="U29" s="28">
        <f t="shared" si="17"/>
        <v>0</v>
      </c>
      <c r="V29" s="22"/>
      <c r="W29" s="22"/>
      <c r="X29" s="40"/>
      <c r="Y29" s="22"/>
      <c r="Z29" s="40"/>
      <c r="AA29" s="40"/>
      <c r="AB29" s="40"/>
      <c r="AC29" s="29" t="str">
        <f t="shared" si="20"/>
        <v/>
      </c>
      <c r="AD29" s="30" t="str">
        <f t="shared" si="21"/>
        <v/>
      </c>
      <c r="AE29" s="30" t="str">
        <f t="shared" si="22"/>
        <v/>
      </c>
      <c r="AF29" s="2"/>
    </row>
    <row r="30" spans="1:33" ht="20.25" customHeight="1" x14ac:dyDescent="0.3">
      <c r="A30" s="31">
        <f>+A29</f>
        <v>44080</v>
      </c>
      <c r="B30" s="32">
        <f t="shared" si="12"/>
        <v>36</v>
      </c>
      <c r="C30" s="62">
        <f t="shared" si="13"/>
        <v>44080</v>
      </c>
      <c r="D30" s="19">
        <v>4</v>
      </c>
      <c r="E30" s="20"/>
      <c r="F30" s="21"/>
      <c r="G30" s="22"/>
      <c r="H30" s="22"/>
      <c r="I30" s="21"/>
      <c r="J30" s="22"/>
      <c r="K30" s="22"/>
      <c r="L30" s="23">
        <f t="shared" si="14"/>
        <v>0</v>
      </c>
      <c r="M30" s="22">
        <f t="shared" si="15"/>
        <v>0</v>
      </c>
      <c r="N30" s="24">
        <v>5</v>
      </c>
      <c r="O30" s="25">
        <v>1</v>
      </c>
      <c r="P30" s="25">
        <f t="shared" si="16"/>
        <v>0</v>
      </c>
      <c r="Q30" s="26"/>
      <c r="R30" s="26"/>
      <c r="S30" s="26"/>
      <c r="T30" s="27"/>
      <c r="U30" s="28">
        <f t="shared" si="17"/>
        <v>0</v>
      </c>
      <c r="V30" s="22"/>
      <c r="W30" s="22"/>
      <c r="X30" s="40"/>
      <c r="Y30" s="22"/>
      <c r="Z30" s="40"/>
      <c r="AA30" s="40"/>
      <c r="AB30" s="40"/>
      <c r="AC30" s="29" t="str">
        <f t="shared" si="20"/>
        <v/>
      </c>
      <c r="AD30" s="30" t="str">
        <f t="shared" si="21"/>
        <v/>
      </c>
      <c r="AE30" s="30" t="str">
        <f t="shared" si="22"/>
        <v/>
      </c>
      <c r="AF30" s="6">
        <f>+SUM(AD27:AD31)</f>
        <v>0</v>
      </c>
      <c r="AG30" s="6">
        <f>+SUM(AE26:AE31)</f>
        <v>0</v>
      </c>
    </row>
    <row r="31" spans="1:33" ht="20.25" customHeight="1" x14ac:dyDescent="0.3">
      <c r="A31" s="33">
        <f>+A30</f>
        <v>44080</v>
      </c>
      <c r="B31" s="34">
        <f t="shared" si="12"/>
        <v>36</v>
      </c>
      <c r="C31" s="63">
        <f t="shared" si="13"/>
        <v>44080</v>
      </c>
      <c r="D31" s="19">
        <v>5</v>
      </c>
      <c r="E31" s="20"/>
      <c r="F31" s="21"/>
      <c r="G31" s="22"/>
      <c r="H31" s="22"/>
      <c r="I31" s="21"/>
      <c r="J31" s="22"/>
      <c r="K31" s="22"/>
      <c r="L31" s="23">
        <f t="shared" si="14"/>
        <v>0</v>
      </c>
      <c r="M31" s="22">
        <f t="shared" si="15"/>
        <v>0</v>
      </c>
      <c r="N31" s="24">
        <v>5</v>
      </c>
      <c r="O31" s="25">
        <v>1</v>
      </c>
      <c r="P31" s="25">
        <f t="shared" si="16"/>
        <v>0</v>
      </c>
      <c r="Q31" s="26"/>
      <c r="R31" s="26"/>
      <c r="S31" s="26"/>
      <c r="T31" s="27"/>
      <c r="U31" s="28">
        <f t="shared" si="17"/>
        <v>0</v>
      </c>
      <c r="V31" s="22"/>
      <c r="W31" s="22"/>
      <c r="X31" s="40"/>
      <c r="Y31" s="22"/>
      <c r="Z31" s="40"/>
      <c r="AA31" s="40"/>
      <c r="AB31" s="40"/>
      <c r="AC31" s="29" t="str">
        <f t="shared" si="20"/>
        <v/>
      </c>
      <c r="AD31" s="30" t="str">
        <f t="shared" si="21"/>
        <v/>
      </c>
      <c r="AE31" s="30" t="str">
        <f t="shared" si="22"/>
        <v/>
      </c>
      <c r="AF31" s="7">
        <f>+COUNT(AD27:AD31)</f>
        <v>0</v>
      </c>
      <c r="AG31" s="7">
        <f>+COUNT(AE26:AE31)</f>
        <v>0</v>
      </c>
    </row>
    <row r="32" spans="1:33" ht="20.25" customHeight="1" x14ac:dyDescent="0.3">
      <c r="A32" s="17">
        <f>+A27+1</f>
        <v>44081</v>
      </c>
      <c r="B32" s="18">
        <f>WEEKNUM(A32,2)</f>
        <v>37</v>
      </c>
      <c r="C32" s="61">
        <f t="shared" si="13"/>
        <v>44081</v>
      </c>
      <c r="D32" s="19">
        <v>1</v>
      </c>
      <c r="E32" s="20"/>
      <c r="F32" s="21"/>
      <c r="G32" s="22"/>
      <c r="H32" s="22"/>
      <c r="I32" s="21"/>
      <c r="J32" s="22"/>
      <c r="K32" s="22"/>
      <c r="L32" s="23">
        <f t="shared" si="14"/>
        <v>0</v>
      </c>
      <c r="M32" s="22">
        <f t="shared" si="15"/>
        <v>0</v>
      </c>
      <c r="N32" s="24">
        <v>5</v>
      </c>
      <c r="O32" s="25">
        <v>1</v>
      </c>
      <c r="P32" s="25">
        <f t="shared" si="16"/>
        <v>0</v>
      </c>
      <c r="Q32" s="26"/>
      <c r="R32" s="26"/>
      <c r="S32" s="26"/>
      <c r="T32" s="27"/>
      <c r="U32" s="28">
        <f t="shared" si="17"/>
        <v>0</v>
      </c>
      <c r="V32" s="22">
        <f>SUM(U32:U36)</f>
        <v>0</v>
      </c>
      <c r="W32" s="84">
        <f>+Tabla1[[#This Row],[RESULTADO DEL DÍA]]+W27</f>
        <v>1199</v>
      </c>
      <c r="X32" s="22">
        <f>+X27+Tabla1[[#This Row],[Objetivo presupuestado]]</f>
        <v>1199</v>
      </c>
      <c r="Y32" s="22" t="str">
        <f t="shared" ref="Y32" si="27">IF(AF32=0,"0",10)</f>
        <v>0</v>
      </c>
      <c r="Z32" s="22" t="str">
        <f t="shared" ref="Z32" si="28">IF(AF32=0,"0",50)</f>
        <v>0</v>
      </c>
      <c r="AA32" s="27">
        <f>+IFERROR(AF35/(AG35*-1),AF35)</f>
        <v>0</v>
      </c>
      <c r="AB32" s="85" t="str">
        <f>+IFERROR(AF36/AF32,"0")</f>
        <v>0</v>
      </c>
      <c r="AC32" s="29" t="str">
        <f t="shared" si="20"/>
        <v/>
      </c>
      <c r="AD32" s="30" t="str">
        <f t="shared" si="21"/>
        <v/>
      </c>
      <c r="AE32" s="30" t="str">
        <f t="shared" si="22"/>
        <v/>
      </c>
      <c r="AF32" s="9">
        <f>+COUNTIF(AC32:AC36,"1")</f>
        <v>0</v>
      </c>
    </row>
    <row r="33" spans="1:33" ht="20.25" customHeight="1" x14ac:dyDescent="0.3">
      <c r="A33" s="31">
        <f>+A32</f>
        <v>44081</v>
      </c>
      <c r="B33" s="32">
        <f t="shared" si="12"/>
        <v>37</v>
      </c>
      <c r="C33" s="62">
        <f t="shared" si="13"/>
        <v>44081</v>
      </c>
      <c r="D33" s="19">
        <v>2</v>
      </c>
      <c r="E33" s="20"/>
      <c r="F33" s="21"/>
      <c r="G33" s="22"/>
      <c r="H33" s="22"/>
      <c r="I33" s="21"/>
      <c r="J33" s="22"/>
      <c r="K33" s="22"/>
      <c r="L33" s="23">
        <f t="shared" si="14"/>
        <v>0</v>
      </c>
      <c r="M33" s="22">
        <f t="shared" si="15"/>
        <v>0</v>
      </c>
      <c r="N33" s="24">
        <v>5</v>
      </c>
      <c r="O33" s="25">
        <v>1</v>
      </c>
      <c r="P33" s="25">
        <f t="shared" si="16"/>
        <v>0</v>
      </c>
      <c r="Q33" s="26"/>
      <c r="R33" s="26"/>
      <c r="S33" s="26"/>
      <c r="T33" s="27"/>
      <c r="U33" s="28">
        <f t="shared" si="17"/>
        <v>0</v>
      </c>
      <c r="V33" s="22"/>
      <c r="W33" s="22"/>
      <c r="X33" s="40"/>
      <c r="Y33" s="22"/>
      <c r="Z33" s="40"/>
      <c r="AA33" s="83"/>
      <c r="AB33" s="83"/>
      <c r="AC33" s="29" t="str">
        <f t="shared" si="20"/>
        <v/>
      </c>
      <c r="AD33" s="30" t="str">
        <f t="shared" si="21"/>
        <v/>
      </c>
      <c r="AE33" s="30" t="str">
        <f t="shared" si="22"/>
        <v/>
      </c>
      <c r="AF33" s="2"/>
    </row>
    <row r="34" spans="1:33" ht="20.25" customHeight="1" x14ac:dyDescent="0.3">
      <c r="A34" s="31">
        <f>+A33</f>
        <v>44081</v>
      </c>
      <c r="B34" s="32">
        <f t="shared" si="12"/>
        <v>37</v>
      </c>
      <c r="C34" s="62">
        <f t="shared" si="13"/>
        <v>44081</v>
      </c>
      <c r="D34" s="19">
        <v>3</v>
      </c>
      <c r="E34" s="20"/>
      <c r="F34" s="21"/>
      <c r="G34" s="22"/>
      <c r="H34" s="22"/>
      <c r="I34" s="21"/>
      <c r="J34" s="22"/>
      <c r="K34" s="22"/>
      <c r="L34" s="23">
        <f t="shared" si="14"/>
        <v>0</v>
      </c>
      <c r="M34" s="22">
        <f t="shared" si="15"/>
        <v>0</v>
      </c>
      <c r="N34" s="24">
        <v>5</v>
      </c>
      <c r="O34" s="25">
        <v>1</v>
      </c>
      <c r="P34" s="25">
        <f t="shared" si="16"/>
        <v>0</v>
      </c>
      <c r="Q34" s="26"/>
      <c r="R34" s="26"/>
      <c r="S34" s="26"/>
      <c r="T34" s="27"/>
      <c r="U34" s="28">
        <f t="shared" si="17"/>
        <v>0</v>
      </c>
      <c r="V34" s="22"/>
      <c r="W34" s="22"/>
      <c r="X34" s="40"/>
      <c r="Y34" s="22"/>
      <c r="Z34" s="40"/>
      <c r="AA34" s="40"/>
      <c r="AB34" s="40"/>
      <c r="AC34" s="29" t="str">
        <f t="shared" si="20"/>
        <v/>
      </c>
      <c r="AD34" s="30" t="str">
        <f t="shared" si="21"/>
        <v/>
      </c>
      <c r="AE34" s="30" t="str">
        <f t="shared" si="22"/>
        <v/>
      </c>
      <c r="AF34" s="2"/>
    </row>
    <row r="35" spans="1:33" ht="20.25" customHeight="1" x14ac:dyDescent="0.3">
      <c r="A35" s="31">
        <f>+A34</f>
        <v>44081</v>
      </c>
      <c r="B35" s="32">
        <f t="shared" si="12"/>
        <v>37</v>
      </c>
      <c r="C35" s="62">
        <f t="shared" si="13"/>
        <v>44081</v>
      </c>
      <c r="D35" s="19">
        <v>4</v>
      </c>
      <c r="E35" s="20"/>
      <c r="F35" s="21"/>
      <c r="G35" s="22"/>
      <c r="H35" s="22"/>
      <c r="I35" s="21"/>
      <c r="J35" s="22"/>
      <c r="K35" s="22"/>
      <c r="L35" s="23">
        <f t="shared" si="14"/>
        <v>0</v>
      </c>
      <c r="M35" s="22">
        <f t="shared" si="15"/>
        <v>0</v>
      </c>
      <c r="N35" s="24">
        <v>5</v>
      </c>
      <c r="O35" s="25">
        <v>1</v>
      </c>
      <c r="P35" s="25">
        <f t="shared" si="16"/>
        <v>0</v>
      </c>
      <c r="Q35" s="26"/>
      <c r="R35" s="26"/>
      <c r="S35" s="26"/>
      <c r="T35" s="27"/>
      <c r="U35" s="28">
        <f t="shared" si="17"/>
        <v>0</v>
      </c>
      <c r="V35" s="22"/>
      <c r="W35" s="22"/>
      <c r="X35" s="40"/>
      <c r="Y35" s="22"/>
      <c r="Z35" s="40"/>
      <c r="AA35" s="40"/>
      <c r="AB35" s="40"/>
      <c r="AC35" s="29" t="str">
        <f t="shared" si="20"/>
        <v/>
      </c>
      <c r="AD35" s="30" t="str">
        <f t="shared" si="21"/>
        <v/>
      </c>
      <c r="AE35" s="30" t="str">
        <f t="shared" si="22"/>
        <v/>
      </c>
      <c r="AF35" s="6">
        <f>+SUM(AD32:AD36)</f>
        <v>0</v>
      </c>
      <c r="AG35" s="6">
        <f>+SUM(AE31:AE36)</f>
        <v>0</v>
      </c>
    </row>
    <row r="36" spans="1:33" ht="20.25" customHeight="1" x14ac:dyDescent="0.3">
      <c r="A36" s="33">
        <f>+A35</f>
        <v>44081</v>
      </c>
      <c r="B36" s="34">
        <f t="shared" si="12"/>
        <v>37</v>
      </c>
      <c r="C36" s="63">
        <f t="shared" si="13"/>
        <v>44081</v>
      </c>
      <c r="D36" s="19">
        <v>5</v>
      </c>
      <c r="E36" s="20"/>
      <c r="F36" s="21"/>
      <c r="G36" s="22"/>
      <c r="H36" s="22"/>
      <c r="I36" s="21"/>
      <c r="J36" s="22"/>
      <c r="K36" s="22"/>
      <c r="L36" s="23">
        <f t="shared" si="14"/>
        <v>0</v>
      </c>
      <c r="M36" s="22">
        <f t="shared" si="15"/>
        <v>0</v>
      </c>
      <c r="N36" s="24">
        <v>5</v>
      </c>
      <c r="O36" s="25">
        <v>1</v>
      </c>
      <c r="P36" s="25">
        <f t="shared" si="16"/>
        <v>0</v>
      </c>
      <c r="Q36" s="26"/>
      <c r="R36" s="26"/>
      <c r="S36" s="26"/>
      <c r="T36" s="27"/>
      <c r="U36" s="28">
        <f t="shared" si="17"/>
        <v>0</v>
      </c>
      <c r="V36" s="22"/>
      <c r="W36" s="22"/>
      <c r="X36" s="40"/>
      <c r="Y36" s="22"/>
      <c r="Z36" s="40"/>
      <c r="AA36" s="40"/>
      <c r="AB36" s="40"/>
      <c r="AC36" s="29" t="str">
        <f t="shared" si="20"/>
        <v/>
      </c>
      <c r="AD36" s="30" t="str">
        <f t="shared" si="21"/>
        <v/>
      </c>
      <c r="AE36" s="30" t="str">
        <f t="shared" si="22"/>
        <v/>
      </c>
      <c r="AF36" s="7">
        <f>+COUNT(AD32:AD36)</f>
        <v>0</v>
      </c>
      <c r="AG36" s="7">
        <f>+COUNT(AE31:AE36)</f>
        <v>0</v>
      </c>
    </row>
    <row r="37" spans="1:33" ht="20.25" customHeight="1" x14ac:dyDescent="0.3">
      <c r="A37" s="17">
        <f>+A32+1</f>
        <v>44082</v>
      </c>
      <c r="B37" s="18">
        <f>WEEKNUM(A37,2)</f>
        <v>37</v>
      </c>
      <c r="C37" s="61">
        <f t="shared" si="13"/>
        <v>44082</v>
      </c>
      <c r="D37" s="19">
        <v>1</v>
      </c>
      <c r="E37" s="20" t="s">
        <v>26</v>
      </c>
      <c r="F37" s="21">
        <v>0.35486111111111113</v>
      </c>
      <c r="G37" s="22">
        <v>1509.3</v>
      </c>
      <c r="H37" s="22" t="s">
        <v>73</v>
      </c>
      <c r="I37" s="21">
        <v>0.36180555555555555</v>
      </c>
      <c r="J37" s="22">
        <v>1503.9</v>
      </c>
      <c r="K37" s="35" t="s">
        <v>79</v>
      </c>
      <c r="L37" s="23">
        <f t="shared" si="14"/>
        <v>6.9444444444444198E-3</v>
      </c>
      <c r="M37" s="22">
        <f t="shared" si="15"/>
        <v>5.3999999999998636</v>
      </c>
      <c r="N37" s="24">
        <v>5</v>
      </c>
      <c r="O37" s="25">
        <v>1</v>
      </c>
      <c r="P37" s="25">
        <f t="shared" si="16"/>
        <v>1</v>
      </c>
      <c r="Q37" s="26"/>
      <c r="R37" s="26"/>
      <c r="S37" s="26"/>
      <c r="T37" s="27"/>
      <c r="U37" s="28">
        <f>+O37*N37*M37-P37</f>
        <v>25.999999999999318</v>
      </c>
      <c r="V37" s="22">
        <f>SUM(U37:U41)</f>
        <v>76.999999999999773</v>
      </c>
      <c r="W37" s="84">
        <f>+Tabla1[[#This Row],[RESULTADO DEL DÍA]]+W32</f>
        <v>1275.9999999999998</v>
      </c>
      <c r="X37" s="22">
        <f>+X32+Tabla1[[#This Row],[Objetivo presupuestado]]</f>
        <v>1249</v>
      </c>
      <c r="Y37" s="22">
        <f t="shared" ref="Y37" si="29">IF(AF37=0,"0",10)</f>
        <v>10</v>
      </c>
      <c r="Z37" s="22">
        <f t="shared" ref="Z37" si="30">IF(AF37=0,"0",50)</f>
        <v>50</v>
      </c>
      <c r="AA37" s="27">
        <f>+IFERROR(AF40/(AG40*-1),AF40)</f>
        <v>15.799999999999955</v>
      </c>
      <c r="AB37" s="85">
        <f>+IFERROR(AF41/AF37,"0")</f>
        <v>1</v>
      </c>
      <c r="AC37" s="29">
        <f t="shared" si="20"/>
        <v>1</v>
      </c>
      <c r="AD37" s="30">
        <f t="shared" si="21"/>
        <v>5.3999999999998636</v>
      </c>
      <c r="AE37" s="30" t="str">
        <f t="shared" si="22"/>
        <v/>
      </c>
      <c r="AF37" s="9">
        <f>+COUNTIF(AC37:AC41,"1")</f>
        <v>2</v>
      </c>
    </row>
    <row r="38" spans="1:33" ht="20.25" customHeight="1" x14ac:dyDescent="0.3">
      <c r="A38" s="31">
        <f>+A37</f>
        <v>44082</v>
      </c>
      <c r="B38" s="32">
        <f t="shared" si="12"/>
        <v>37</v>
      </c>
      <c r="C38" s="62">
        <f t="shared" si="13"/>
        <v>44082</v>
      </c>
      <c r="D38" s="19">
        <v>2</v>
      </c>
      <c r="E38" s="20" t="s">
        <v>26</v>
      </c>
      <c r="F38" s="21">
        <v>0.62291666666666667</v>
      </c>
      <c r="G38" s="22">
        <v>1505.5</v>
      </c>
      <c r="H38" s="22" t="s">
        <v>73</v>
      </c>
      <c r="I38" s="21">
        <v>0.79513888888888884</v>
      </c>
      <c r="J38" s="22">
        <v>1495.1</v>
      </c>
      <c r="K38" s="35" t="s">
        <v>82</v>
      </c>
      <c r="L38" s="23">
        <f t="shared" si="14"/>
        <v>0.17222222222222217</v>
      </c>
      <c r="M38" s="22">
        <f t="shared" si="15"/>
        <v>10.400000000000091</v>
      </c>
      <c r="N38" s="24">
        <v>5</v>
      </c>
      <c r="O38" s="25">
        <v>1</v>
      </c>
      <c r="P38" s="25">
        <f t="shared" si="16"/>
        <v>1</v>
      </c>
      <c r="Q38" s="26"/>
      <c r="R38" s="26"/>
      <c r="S38" s="26"/>
      <c r="T38" s="27"/>
      <c r="U38" s="28">
        <f t="shared" si="17"/>
        <v>51.000000000000455</v>
      </c>
      <c r="V38" s="22"/>
      <c r="W38" s="22"/>
      <c r="X38" s="40"/>
      <c r="Y38" s="22"/>
      <c r="Z38" s="40"/>
      <c r="AA38" s="83"/>
      <c r="AB38" s="83"/>
      <c r="AC38" s="29">
        <f t="shared" si="20"/>
        <v>1</v>
      </c>
      <c r="AD38" s="30">
        <f t="shared" si="21"/>
        <v>10.400000000000091</v>
      </c>
      <c r="AE38" s="30" t="str">
        <f t="shared" si="22"/>
        <v/>
      </c>
      <c r="AF38" s="2"/>
    </row>
    <row r="39" spans="1:33" ht="20.25" customHeight="1" x14ac:dyDescent="0.3">
      <c r="A39" s="31">
        <f>+A38</f>
        <v>44082</v>
      </c>
      <c r="B39" s="32">
        <f t="shared" si="12"/>
        <v>37</v>
      </c>
      <c r="C39" s="62">
        <f t="shared" si="13"/>
        <v>44082</v>
      </c>
      <c r="D39" s="19">
        <v>3</v>
      </c>
      <c r="E39" s="20"/>
      <c r="F39" s="21"/>
      <c r="G39" s="22"/>
      <c r="H39" s="22"/>
      <c r="I39" s="21"/>
      <c r="J39" s="22"/>
      <c r="K39" s="22"/>
      <c r="L39" s="23">
        <f t="shared" si="14"/>
        <v>0</v>
      </c>
      <c r="M39" s="22">
        <f t="shared" si="15"/>
        <v>0</v>
      </c>
      <c r="N39" s="24">
        <v>5</v>
      </c>
      <c r="O39" s="25">
        <v>1</v>
      </c>
      <c r="P39" s="25">
        <f t="shared" si="16"/>
        <v>0</v>
      </c>
      <c r="Q39" s="26"/>
      <c r="R39" s="26"/>
      <c r="S39" s="26"/>
      <c r="T39" s="27"/>
      <c r="U39" s="28">
        <f t="shared" si="17"/>
        <v>0</v>
      </c>
      <c r="V39" s="22"/>
      <c r="W39" s="22"/>
      <c r="X39" s="40"/>
      <c r="Y39" s="22"/>
      <c r="Z39" s="40"/>
      <c r="AA39" s="40"/>
      <c r="AB39" s="40"/>
      <c r="AC39" s="29" t="str">
        <f t="shared" si="20"/>
        <v/>
      </c>
      <c r="AD39" s="30" t="str">
        <f t="shared" si="21"/>
        <v/>
      </c>
      <c r="AE39" s="30" t="str">
        <f t="shared" si="22"/>
        <v/>
      </c>
      <c r="AF39" s="2"/>
    </row>
    <row r="40" spans="1:33" ht="20.25" customHeight="1" x14ac:dyDescent="0.3">
      <c r="A40" s="31">
        <f>+A39</f>
        <v>44082</v>
      </c>
      <c r="B40" s="32">
        <f t="shared" si="12"/>
        <v>37</v>
      </c>
      <c r="C40" s="62">
        <f t="shared" si="13"/>
        <v>44082</v>
      </c>
      <c r="D40" s="19">
        <v>4</v>
      </c>
      <c r="E40" s="20"/>
      <c r="F40" s="21"/>
      <c r="G40" s="22"/>
      <c r="H40" s="22"/>
      <c r="I40" s="21"/>
      <c r="J40" s="22"/>
      <c r="K40" s="22"/>
      <c r="L40" s="23">
        <f t="shared" si="14"/>
        <v>0</v>
      </c>
      <c r="M40" s="22">
        <f t="shared" si="15"/>
        <v>0</v>
      </c>
      <c r="N40" s="24">
        <v>5</v>
      </c>
      <c r="O40" s="25">
        <v>1</v>
      </c>
      <c r="P40" s="25">
        <f t="shared" si="16"/>
        <v>0</v>
      </c>
      <c r="Q40" s="26"/>
      <c r="R40" s="26"/>
      <c r="S40" s="26"/>
      <c r="T40" s="27"/>
      <c r="U40" s="28">
        <f t="shared" si="17"/>
        <v>0</v>
      </c>
      <c r="V40" s="22"/>
      <c r="W40" s="22"/>
      <c r="X40" s="40"/>
      <c r="Y40" s="22"/>
      <c r="Z40" s="40"/>
      <c r="AA40" s="40"/>
      <c r="AB40" s="40"/>
      <c r="AC40" s="29" t="str">
        <f t="shared" si="20"/>
        <v/>
      </c>
      <c r="AD40" s="30" t="str">
        <f t="shared" si="21"/>
        <v/>
      </c>
      <c r="AE40" s="30" t="str">
        <f t="shared" si="22"/>
        <v/>
      </c>
      <c r="AF40" s="6">
        <f>+SUM(AD37:AD41)</f>
        <v>15.799999999999955</v>
      </c>
      <c r="AG40" s="6">
        <f>+SUM(AE36:AE41)</f>
        <v>0</v>
      </c>
    </row>
    <row r="41" spans="1:33" ht="20.25" customHeight="1" x14ac:dyDescent="0.3">
      <c r="A41" s="33">
        <f>+A40</f>
        <v>44082</v>
      </c>
      <c r="B41" s="34">
        <f t="shared" si="12"/>
        <v>37</v>
      </c>
      <c r="C41" s="63">
        <f t="shared" si="13"/>
        <v>44082</v>
      </c>
      <c r="D41" s="19">
        <v>5</v>
      </c>
      <c r="E41" s="20"/>
      <c r="F41" s="21"/>
      <c r="G41" s="22"/>
      <c r="H41" s="22"/>
      <c r="I41" s="21"/>
      <c r="J41" s="22"/>
      <c r="K41" s="22"/>
      <c r="L41" s="23">
        <f t="shared" si="14"/>
        <v>0</v>
      </c>
      <c r="M41" s="22">
        <f t="shared" si="15"/>
        <v>0</v>
      </c>
      <c r="N41" s="24">
        <v>5</v>
      </c>
      <c r="O41" s="25">
        <v>1</v>
      </c>
      <c r="P41" s="25">
        <f t="shared" si="16"/>
        <v>0</v>
      </c>
      <c r="Q41" s="26"/>
      <c r="R41" s="26"/>
      <c r="S41" s="26"/>
      <c r="T41" s="27"/>
      <c r="U41" s="28">
        <f t="shared" si="17"/>
        <v>0</v>
      </c>
      <c r="V41" s="22"/>
      <c r="W41" s="22"/>
      <c r="X41" s="40"/>
      <c r="Y41" s="22"/>
      <c r="Z41" s="40"/>
      <c r="AA41" s="40"/>
      <c r="AB41" s="40"/>
      <c r="AC41" s="29" t="str">
        <f t="shared" si="20"/>
        <v/>
      </c>
      <c r="AD41" s="30" t="str">
        <f t="shared" si="21"/>
        <v/>
      </c>
      <c r="AE41" s="30" t="str">
        <f t="shared" si="22"/>
        <v/>
      </c>
      <c r="AF41" s="7">
        <f>+COUNT(AD37:AD41)</f>
        <v>2</v>
      </c>
      <c r="AG41" s="7">
        <f>+COUNT(AE36:AE41)</f>
        <v>0</v>
      </c>
    </row>
    <row r="42" spans="1:33" ht="20.25" customHeight="1" x14ac:dyDescent="0.3">
      <c r="A42" s="17">
        <f>+A37+1</f>
        <v>44083</v>
      </c>
      <c r="B42" s="18">
        <f>WEEKNUM(A42,2)</f>
        <v>37</v>
      </c>
      <c r="C42" s="61">
        <f t="shared" si="13"/>
        <v>44083</v>
      </c>
      <c r="D42" s="19">
        <v>1</v>
      </c>
      <c r="E42" s="20" t="s">
        <v>26</v>
      </c>
      <c r="F42" s="21">
        <v>0.3527777777777778</v>
      </c>
      <c r="G42" s="22">
        <v>1520.8</v>
      </c>
      <c r="H42" s="22" t="s">
        <v>7</v>
      </c>
      <c r="I42" s="21">
        <v>0.35486111111111113</v>
      </c>
      <c r="J42" s="22">
        <v>1519.5</v>
      </c>
      <c r="K42" s="35" t="s">
        <v>81</v>
      </c>
      <c r="L42" s="23">
        <f t="shared" si="14"/>
        <v>2.0833333333333259E-3</v>
      </c>
      <c r="M42" s="22">
        <f t="shared" si="15"/>
        <v>1.2999999999999545</v>
      </c>
      <c r="N42" s="24">
        <v>5</v>
      </c>
      <c r="O42" s="25">
        <v>1</v>
      </c>
      <c r="P42" s="25">
        <f t="shared" si="16"/>
        <v>1</v>
      </c>
      <c r="Q42" s="26"/>
      <c r="R42" s="26"/>
      <c r="S42" s="26"/>
      <c r="T42" s="27"/>
      <c r="U42" s="28">
        <f t="shared" si="17"/>
        <v>5.4999999999997726</v>
      </c>
      <c r="V42" s="22">
        <f>SUM(U42:U46)</f>
        <v>-6.4999999999993179</v>
      </c>
      <c r="W42" s="84">
        <f>+Tabla1[[#This Row],[RESULTADO DEL DÍA]]+W37</f>
        <v>1269.5000000000005</v>
      </c>
      <c r="X42" s="22">
        <f>+X37+Tabla1[[#This Row],[Objetivo presupuestado]]</f>
        <v>1299</v>
      </c>
      <c r="Y42" s="22">
        <f t="shared" ref="Y42" si="31">IF(AF42=0,"0",10)</f>
        <v>10</v>
      </c>
      <c r="Z42" s="22">
        <f t="shared" ref="Z42" si="32">IF(AF42=0,"0",50)</f>
        <v>50</v>
      </c>
      <c r="AA42" s="27">
        <f>+IFERROR(AF45/(AG45*-1),AF45)</f>
        <v>0.59090909090911914</v>
      </c>
      <c r="AB42" s="85">
        <f>+IFERROR(AF46/AF42,"0")</f>
        <v>0.5</v>
      </c>
      <c r="AC42" s="29">
        <f t="shared" si="20"/>
        <v>1</v>
      </c>
      <c r="AD42" s="30">
        <f t="shared" si="21"/>
        <v>1.2999999999999545</v>
      </c>
      <c r="AE42" s="30" t="str">
        <f t="shared" si="22"/>
        <v/>
      </c>
      <c r="AF42" s="9">
        <f>+COUNTIF(AC42:AC46,"1")</f>
        <v>2</v>
      </c>
    </row>
    <row r="43" spans="1:33" ht="20.25" customHeight="1" x14ac:dyDescent="0.3">
      <c r="A43" s="31">
        <f>+A42</f>
        <v>44083</v>
      </c>
      <c r="B43" s="32">
        <f t="shared" si="12"/>
        <v>37</v>
      </c>
      <c r="C43" s="62">
        <f t="shared" si="13"/>
        <v>44083</v>
      </c>
      <c r="D43" s="19">
        <v>2</v>
      </c>
      <c r="E43" s="20" t="s">
        <v>26</v>
      </c>
      <c r="F43" s="21">
        <v>0.35625000000000001</v>
      </c>
      <c r="G43" s="22">
        <v>1516.9</v>
      </c>
      <c r="H43" s="22" t="s">
        <v>7</v>
      </c>
      <c r="I43" s="21">
        <v>0.38958333333333334</v>
      </c>
      <c r="J43" s="22">
        <v>1519.1</v>
      </c>
      <c r="K43" s="35" t="s">
        <v>83</v>
      </c>
      <c r="L43" s="23">
        <f t="shared" si="14"/>
        <v>3.3333333333333326E-2</v>
      </c>
      <c r="M43" s="22">
        <f t="shared" si="15"/>
        <v>-2.1999999999998181</v>
      </c>
      <c r="N43" s="24">
        <v>5</v>
      </c>
      <c r="O43" s="25">
        <v>1</v>
      </c>
      <c r="P43" s="25">
        <f t="shared" si="16"/>
        <v>1</v>
      </c>
      <c r="Q43" s="26"/>
      <c r="R43" s="26"/>
      <c r="S43" s="26"/>
      <c r="T43" s="27"/>
      <c r="U43" s="28">
        <f t="shared" si="17"/>
        <v>-11.999999999999091</v>
      </c>
      <c r="V43" s="22"/>
      <c r="W43" s="22"/>
      <c r="X43" s="40"/>
      <c r="Y43" s="22"/>
      <c r="Z43" s="40"/>
      <c r="AA43" s="83"/>
      <c r="AB43" s="83"/>
      <c r="AC43" s="29">
        <f t="shared" si="20"/>
        <v>1</v>
      </c>
      <c r="AD43" s="30" t="str">
        <f t="shared" si="21"/>
        <v/>
      </c>
      <c r="AE43" s="30">
        <f t="shared" si="22"/>
        <v>-2.1999999999998181</v>
      </c>
      <c r="AF43" s="2"/>
    </row>
    <row r="44" spans="1:33" ht="20.25" customHeight="1" x14ac:dyDescent="0.3">
      <c r="A44" s="31">
        <f>+A43</f>
        <v>44083</v>
      </c>
      <c r="B44" s="32">
        <f t="shared" si="12"/>
        <v>37</v>
      </c>
      <c r="C44" s="62">
        <f t="shared" si="13"/>
        <v>44083</v>
      </c>
      <c r="D44" s="19">
        <v>3</v>
      </c>
      <c r="E44" s="20"/>
      <c r="F44" s="21"/>
      <c r="G44" s="22"/>
      <c r="H44" s="22"/>
      <c r="I44" s="21"/>
      <c r="J44" s="22"/>
      <c r="K44" s="22"/>
      <c r="L44" s="23">
        <f t="shared" si="14"/>
        <v>0</v>
      </c>
      <c r="M44" s="22">
        <f t="shared" si="15"/>
        <v>0</v>
      </c>
      <c r="N44" s="24">
        <v>5</v>
      </c>
      <c r="O44" s="25">
        <v>1</v>
      </c>
      <c r="P44" s="25">
        <f t="shared" si="16"/>
        <v>0</v>
      </c>
      <c r="Q44" s="26"/>
      <c r="R44" s="26"/>
      <c r="S44" s="26"/>
      <c r="T44" s="27"/>
      <c r="U44" s="28">
        <f t="shared" si="17"/>
        <v>0</v>
      </c>
      <c r="V44" s="22"/>
      <c r="W44" s="22"/>
      <c r="X44" s="40"/>
      <c r="Y44" s="22"/>
      <c r="Z44" s="40"/>
      <c r="AA44" s="40"/>
      <c r="AB44" s="40"/>
      <c r="AC44" s="29" t="str">
        <f t="shared" si="20"/>
        <v/>
      </c>
      <c r="AD44" s="30" t="str">
        <f t="shared" si="21"/>
        <v/>
      </c>
      <c r="AE44" s="30" t="str">
        <f t="shared" si="22"/>
        <v/>
      </c>
      <c r="AF44" s="2"/>
    </row>
    <row r="45" spans="1:33" ht="20.25" customHeight="1" x14ac:dyDescent="0.3">
      <c r="A45" s="31">
        <f>+A44</f>
        <v>44083</v>
      </c>
      <c r="B45" s="32">
        <f t="shared" si="12"/>
        <v>37</v>
      </c>
      <c r="C45" s="62">
        <f t="shared" si="13"/>
        <v>44083</v>
      </c>
      <c r="D45" s="19">
        <v>4</v>
      </c>
      <c r="E45" s="20"/>
      <c r="F45" s="21"/>
      <c r="G45" s="22"/>
      <c r="H45" s="22"/>
      <c r="I45" s="21"/>
      <c r="J45" s="22"/>
      <c r="K45" s="22"/>
      <c r="L45" s="23">
        <f t="shared" si="14"/>
        <v>0</v>
      </c>
      <c r="M45" s="22">
        <f t="shared" si="15"/>
        <v>0</v>
      </c>
      <c r="N45" s="24">
        <v>5</v>
      </c>
      <c r="O45" s="25">
        <v>1</v>
      </c>
      <c r="P45" s="25">
        <f t="shared" si="16"/>
        <v>0</v>
      </c>
      <c r="Q45" s="26"/>
      <c r="R45" s="26"/>
      <c r="S45" s="26"/>
      <c r="T45" s="27"/>
      <c r="U45" s="28">
        <f t="shared" si="17"/>
        <v>0</v>
      </c>
      <c r="V45" s="22"/>
      <c r="W45" s="22"/>
      <c r="X45" s="40"/>
      <c r="Y45" s="22"/>
      <c r="Z45" s="40"/>
      <c r="AA45" s="40"/>
      <c r="AB45" s="40"/>
      <c r="AC45" s="29" t="str">
        <f t="shared" si="20"/>
        <v/>
      </c>
      <c r="AD45" s="30" t="str">
        <f t="shared" si="21"/>
        <v/>
      </c>
      <c r="AE45" s="30" t="str">
        <f t="shared" si="22"/>
        <v/>
      </c>
      <c r="AF45" s="6">
        <f>+SUM(AD42:AD46)</f>
        <v>1.2999999999999545</v>
      </c>
      <c r="AG45" s="6">
        <f>+SUM(AE41:AE46)</f>
        <v>-2.1999999999998181</v>
      </c>
    </row>
    <row r="46" spans="1:33" ht="20.25" customHeight="1" x14ac:dyDescent="0.3">
      <c r="A46" s="33">
        <f>+A45</f>
        <v>44083</v>
      </c>
      <c r="B46" s="34">
        <f t="shared" si="12"/>
        <v>37</v>
      </c>
      <c r="C46" s="63">
        <f t="shared" si="13"/>
        <v>44083</v>
      </c>
      <c r="D46" s="19">
        <v>5</v>
      </c>
      <c r="E46" s="20"/>
      <c r="F46" s="21"/>
      <c r="G46" s="22"/>
      <c r="H46" s="22"/>
      <c r="I46" s="21"/>
      <c r="J46" s="22"/>
      <c r="K46" s="22"/>
      <c r="L46" s="23">
        <f t="shared" si="14"/>
        <v>0</v>
      </c>
      <c r="M46" s="22">
        <f t="shared" si="15"/>
        <v>0</v>
      </c>
      <c r="N46" s="24">
        <v>5</v>
      </c>
      <c r="O46" s="25">
        <v>1</v>
      </c>
      <c r="P46" s="25">
        <f t="shared" si="16"/>
        <v>0</v>
      </c>
      <c r="Q46" s="26"/>
      <c r="R46" s="26"/>
      <c r="S46" s="26"/>
      <c r="T46" s="27"/>
      <c r="U46" s="28">
        <f t="shared" si="17"/>
        <v>0</v>
      </c>
      <c r="V46" s="22"/>
      <c r="W46" s="22"/>
      <c r="X46" s="40"/>
      <c r="Y46" s="22"/>
      <c r="Z46" s="40"/>
      <c r="AA46" s="40"/>
      <c r="AB46" s="40"/>
      <c r="AC46" s="29" t="str">
        <f t="shared" si="20"/>
        <v/>
      </c>
      <c r="AD46" s="30" t="str">
        <f t="shared" si="21"/>
        <v/>
      </c>
      <c r="AE46" s="30" t="str">
        <f t="shared" si="22"/>
        <v/>
      </c>
      <c r="AF46" s="7">
        <f>+COUNT(AD42:AD46)</f>
        <v>1</v>
      </c>
      <c r="AG46" s="7">
        <f>+COUNT(AE41:AE46)</f>
        <v>1</v>
      </c>
    </row>
    <row r="47" spans="1:33" ht="20.25" customHeight="1" x14ac:dyDescent="0.3">
      <c r="A47" s="17">
        <f>+A42+1</f>
        <v>44084</v>
      </c>
      <c r="B47" s="18">
        <f>WEEKNUM(A47,2)</f>
        <v>37</v>
      </c>
      <c r="C47" s="61">
        <f t="shared" si="13"/>
        <v>44084</v>
      </c>
      <c r="D47" s="19">
        <v>1</v>
      </c>
      <c r="E47" s="20"/>
      <c r="F47" s="21"/>
      <c r="G47" s="22"/>
      <c r="H47" s="22"/>
      <c r="I47" s="21"/>
      <c r="J47" s="22"/>
      <c r="K47" s="22"/>
      <c r="L47" s="23">
        <f t="shared" si="14"/>
        <v>0</v>
      </c>
      <c r="M47" s="22">
        <f t="shared" si="15"/>
        <v>0</v>
      </c>
      <c r="N47" s="24">
        <v>5</v>
      </c>
      <c r="O47" s="25">
        <v>1</v>
      </c>
      <c r="P47" s="25">
        <f t="shared" si="16"/>
        <v>0</v>
      </c>
      <c r="Q47" s="26"/>
      <c r="R47" s="26"/>
      <c r="S47" s="26"/>
      <c r="T47" s="27"/>
      <c r="U47" s="28">
        <f t="shared" si="17"/>
        <v>0</v>
      </c>
      <c r="V47" s="22">
        <f>SUM(U47:U51)</f>
        <v>0</v>
      </c>
      <c r="W47" s="84">
        <f>+Tabla1[[#This Row],[RESULTADO DEL DÍA]]+W42</f>
        <v>1269.5000000000005</v>
      </c>
      <c r="X47" s="22">
        <f>+X42+Tabla1[[#This Row],[Objetivo presupuestado]]</f>
        <v>1299</v>
      </c>
      <c r="Y47" s="22" t="str">
        <f t="shared" ref="Y47" si="33">IF(AF47=0,"0",10)</f>
        <v>0</v>
      </c>
      <c r="Z47" s="22" t="str">
        <f t="shared" ref="Z47" si="34">IF(AF47=0,"0",50)</f>
        <v>0</v>
      </c>
      <c r="AA47" s="27">
        <f>+IFERROR(AF50/(AG50*-1),AF50)</f>
        <v>0</v>
      </c>
      <c r="AB47" s="85" t="str">
        <f>+IFERROR(AF51/AF47,"0")</f>
        <v>0</v>
      </c>
      <c r="AC47" s="29" t="str">
        <f t="shared" si="20"/>
        <v/>
      </c>
      <c r="AD47" s="30" t="str">
        <f t="shared" si="21"/>
        <v/>
      </c>
      <c r="AE47" s="30" t="str">
        <f t="shared" si="22"/>
        <v/>
      </c>
      <c r="AF47" s="9">
        <f>+COUNTIF(AC47:AC51,"1")</f>
        <v>0</v>
      </c>
    </row>
    <row r="48" spans="1:33" ht="20.25" customHeight="1" x14ac:dyDescent="0.3">
      <c r="A48" s="31">
        <f>+A47</f>
        <v>44084</v>
      </c>
      <c r="B48" s="32">
        <f t="shared" si="12"/>
        <v>37</v>
      </c>
      <c r="C48" s="62">
        <f t="shared" si="13"/>
        <v>44084</v>
      </c>
      <c r="D48" s="19">
        <v>2</v>
      </c>
      <c r="E48" s="20"/>
      <c r="F48" s="21"/>
      <c r="G48" s="22"/>
      <c r="H48" s="22"/>
      <c r="I48" s="21"/>
      <c r="J48" s="22"/>
      <c r="K48" s="22"/>
      <c r="L48" s="23">
        <f t="shared" si="14"/>
        <v>0</v>
      </c>
      <c r="M48" s="22">
        <f t="shared" si="15"/>
        <v>0</v>
      </c>
      <c r="N48" s="24">
        <v>5</v>
      </c>
      <c r="O48" s="25">
        <v>1</v>
      </c>
      <c r="P48" s="25">
        <f t="shared" si="16"/>
        <v>0</v>
      </c>
      <c r="Q48" s="26"/>
      <c r="R48" s="26"/>
      <c r="S48" s="26"/>
      <c r="T48" s="27"/>
      <c r="U48" s="28">
        <f t="shared" si="17"/>
        <v>0</v>
      </c>
      <c r="V48" s="22"/>
      <c r="W48" s="22"/>
      <c r="X48" s="40"/>
      <c r="Y48" s="22"/>
      <c r="Z48" s="40"/>
      <c r="AA48" s="83"/>
      <c r="AB48" s="83"/>
      <c r="AC48" s="29" t="str">
        <f t="shared" si="20"/>
        <v/>
      </c>
      <c r="AD48" s="30" t="str">
        <f t="shared" si="21"/>
        <v/>
      </c>
      <c r="AE48" s="30" t="str">
        <f t="shared" si="22"/>
        <v/>
      </c>
      <c r="AF48" s="2"/>
    </row>
    <row r="49" spans="1:33" ht="20.25" customHeight="1" x14ac:dyDescent="0.3">
      <c r="A49" s="31">
        <f>+A48</f>
        <v>44084</v>
      </c>
      <c r="B49" s="32">
        <f t="shared" si="12"/>
        <v>37</v>
      </c>
      <c r="C49" s="62">
        <f t="shared" si="13"/>
        <v>44084</v>
      </c>
      <c r="D49" s="19">
        <v>3</v>
      </c>
      <c r="E49" s="20"/>
      <c r="F49" s="21"/>
      <c r="G49" s="22"/>
      <c r="H49" s="22"/>
      <c r="I49" s="21"/>
      <c r="J49" s="22"/>
      <c r="K49" s="22"/>
      <c r="L49" s="23">
        <f t="shared" si="14"/>
        <v>0</v>
      </c>
      <c r="M49" s="22">
        <f t="shared" si="15"/>
        <v>0</v>
      </c>
      <c r="N49" s="24">
        <v>5</v>
      </c>
      <c r="O49" s="25">
        <v>1</v>
      </c>
      <c r="P49" s="25">
        <f t="shared" si="16"/>
        <v>0</v>
      </c>
      <c r="Q49" s="26"/>
      <c r="R49" s="26"/>
      <c r="S49" s="26"/>
      <c r="T49" s="27"/>
      <c r="U49" s="28">
        <f t="shared" si="17"/>
        <v>0</v>
      </c>
      <c r="V49" s="22"/>
      <c r="W49" s="22"/>
      <c r="X49" s="40"/>
      <c r="Y49" s="22"/>
      <c r="Z49" s="40"/>
      <c r="AA49" s="40"/>
      <c r="AB49" s="40"/>
      <c r="AC49" s="29" t="str">
        <f t="shared" si="20"/>
        <v/>
      </c>
      <c r="AD49" s="30" t="str">
        <f t="shared" si="21"/>
        <v/>
      </c>
      <c r="AE49" s="30" t="str">
        <f t="shared" si="22"/>
        <v/>
      </c>
      <c r="AF49" s="2"/>
    </row>
    <row r="50" spans="1:33" ht="20.25" customHeight="1" x14ac:dyDescent="0.3">
      <c r="A50" s="31">
        <f>+A49</f>
        <v>44084</v>
      </c>
      <c r="B50" s="32">
        <f t="shared" si="12"/>
        <v>37</v>
      </c>
      <c r="C50" s="62">
        <f t="shared" si="13"/>
        <v>44084</v>
      </c>
      <c r="D50" s="19">
        <v>4</v>
      </c>
      <c r="E50" s="20"/>
      <c r="F50" s="21"/>
      <c r="G50" s="22"/>
      <c r="H50" s="22"/>
      <c r="I50" s="21"/>
      <c r="J50" s="22"/>
      <c r="K50" s="22"/>
      <c r="L50" s="23">
        <f t="shared" si="14"/>
        <v>0</v>
      </c>
      <c r="M50" s="22">
        <f t="shared" si="15"/>
        <v>0</v>
      </c>
      <c r="N50" s="24">
        <v>5</v>
      </c>
      <c r="O50" s="25">
        <v>1</v>
      </c>
      <c r="P50" s="25">
        <f t="shared" si="16"/>
        <v>0</v>
      </c>
      <c r="Q50" s="26"/>
      <c r="R50" s="26"/>
      <c r="S50" s="26"/>
      <c r="T50" s="27"/>
      <c r="U50" s="28">
        <f t="shared" si="17"/>
        <v>0</v>
      </c>
      <c r="V50" s="22"/>
      <c r="W50" s="22"/>
      <c r="X50" s="40"/>
      <c r="Y50" s="22"/>
      <c r="Z50" s="40"/>
      <c r="AA50" s="40"/>
      <c r="AB50" s="40"/>
      <c r="AC50" s="29" t="str">
        <f t="shared" si="20"/>
        <v/>
      </c>
      <c r="AD50" s="30" t="str">
        <f t="shared" si="21"/>
        <v/>
      </c>
      <c r="AE50" s="30" t="str">
        <f t="shared" si="22"/>
        <v/>
      </c>
      <c r="AF50" s="6">
        <f>+SUM(AD47:AD51)</f>
        <v>0</v>
      </c>
      <c r="AG50" s="6">
        <f>+SUM(AE46:AE51)</f>
        <v>0</v>
      </c>
    </row>
    <row r="51" spans="1:33" ht="20.25" customHeight="1" x14ac:dyDescent="0.3">
      <c r="A51" s="33">
        <f>+A50</f>
        <v>44084</v>
      </c>
      <c r="B51" s="34">
        <f t="shared" si="12"/>
        <v>37</v>
      </c>
      <c r="C51" s="63">
        <f t="shared" si="13"/>
        <v>44084</v>
      </c>
      <c r="D51" s="19">
        <v>5</v>
      </c>
      <c r="E51" s="20"/>
      <c r="F51" s="21"/>
      <c r="G51" s="22"/>
      <c r="H51" s="22"/>
      <c r="I51" s="21"/>
      <c r="J51" s="22"/>
      <c r="K51" s="22"/>
      <c r="L51" s="23">
        <f t="shared" si="14"/>
        <v>0</v>
      </c>
      <c r="M51" s="22">
        <f t="shared" si="15"/>
        <v>0</v>
      </c>
      <c r="N51" s="24">
        <v>5</v>
      </c>
      <c r="O51" s="25">
        <v>1</v>
      </c>
      <c r="P51" s="25">
        <f t="shared" si="16"/>
        <v>0</v>
      </c>
      <c r="Q51" s="26"/>
      <c r="R51" s="26"/>
      <c r="S51" s="26"/>
      <c r="T51" s="27"/>
      <c r="U51" s="28">
        <f t="shared" si="17"/>
        <v>0</v>
      </c>
      <c r="V51" s="22"/>
      <c r="W51" s="22"/>
      <c r="X51" s="40"/>
      <c r="Y51" s="22"/>
      <c r="Z51" s="40"/>
      <c r="AA51" s="40"/>
      <c r="AB51" s="40"/>
      <c r="AC51" s="29" t="str">
        <f t="shared" si="20"/>
        <v/>
      </c>
      <c r="AD51" s="30" t="str">
        <f t="shared" si="21"/>
        <v/>
      </c>
      <c r="AE51" s="30" t="str">
        <f t="shared" si="22"/>
        <v/>
      </c>
      <c r="AF51" s="7">
        <f>+COUNT(AD47:AD51)</f>
        <v>0</v>
      </c>
      <c r="AG51" s="7">
        <f>+COUNT(AE46:AE51)</f>
        <v>0</v>
      </c>
    </row>
    <row r="52" spans="1:33" ht="20.25" customHeight="1" x14ac:dyDescent="0.3">
      <c r="A52" s="17">
        <f>+A47+1</f>
        <v>44085</v>
      </c>
      <c r="B52" s="18">
        <f>WEEKNUM(A52,2)</f>
        <v>37</v>
      </c>
      <c r="C52" s="61">
        <f t="shared" si="13"/>
        <v>44085</v>
      </c>
      <c r="D52" s="19">
        <v>1</v>
      </c>
      <c r="E52" s="20"/>
      <c r="F52" s="21"/>
      <c r="G52" s="22"/>
      <c r="H52" s="22"/>
      <c r="I52" s="21"/>
      <c r="J52" s="22"/>
      <c r="K52" s="22"/>
      <c r="L52" s="23">
        <f t="shared" si="14"/>
        <v>0</v>
      </c>
      <c r="M52" s="22">
        <f t="shared" si="15"/>
        <v>0</v>
      </c>
      <c r="N52" s="24">
        <v>5</v>
      </c>
      <c r="O52" s="25">
        <v>1</v>
      </c>
      <c r="P52" s="25">
        <f t="shared" si="16"/>
        <v>0</v>
      </c>
      <c r="Q52" s="26"/>
      <c r="R52" s="26"/>
      <c r="S52" s="26"/>
      <c r="T52" s="27"/>
      <c r="U52" s="28">
        <f t="shared" si="17"/>
        <v>0</v>
      </c>
      <c r="V52" s="22">
        <f>SUM(U52:U56)</f>
        <v>0</v>
      </c>
      <c r="W52" s="84">
        <f>+Tabla1[[#This Row],[RESULTADO DEL DÍA]]+W47</f>
        <v>1269.5000000000005</v>
      </c>
      <c r="X52" s="22">
        <f>+X47+Tabla1[[#This Row],[Objetivo presupuestado]]</f>
        <v>1299</v>
      </c>
      <c r="Y52" s="22" t="str">
        <f t="shared" ref="Y52" si="35">IF(AF52=0,"0",10)</f>
        <v>0</v>
      </c>
      <c r="Z52" s="22" t="str">
        <f t="shared" ref="Z52" si="36">IF(AF52=0,"0",50)</f>
        <v>0</v>
      </c>
      <c r="AA52" s="27">
        <f>+IFERROR(AF55/(AG55*-1),AF55)</f>
        <v>0</v>
      </c>
      <c r="AB52" s="85" t="str">
        <f>+IFERROR(AF56/AF52,"0")</f>
        <v>0</v>
      </c>
      <c r="AC52" s="29" t="str">
        <f t="shared" si="20"/>
        <v/>
      </c>
      <c r="AD52" s="30" t="str">
        <f t="shared" si="21"/>
        <v/>
      </c>
      <c r="AE52" s="30" t="str">
        <f t="shared" si="22"/>
        <v/>
      </c>
      <c r="AF52" s="9">
        <f>+COUNTIF(AC52:AC56,"1")</f>
        <v>0</v>
      </c>
    </row>
    <row r="53" spans="1:33" ht="20.25" customHeight="1" x14ac:dyDescent="0.3">
      <c r="A53" s="31">
        <f>+A52</f>
        <v>44085</v>
      </c>
      <c r="B53" s="32">
        <f t="shared" si="12"/>
        <v>37</v>
      </c>
      <c r="C53" s="62">
        <f t="shared" si="13"/>
        <v>44085</v>
      </c>
      <c r="D53" s="19">
        <v>2</v>
      </c>
      <c r="E53" s="20"/>
      <c r="F53" s="21"/>
      <c r="G53" s="22"/>
      <c r="H53" s="22"/>
      <c r="I53" s="21"/>
      <c r="J53" s="22"/>
      <c r="K53" s="22"/>
      <c r="L53" s="23">
        <f t="shared" si="14"/>
        <v>0</v>
      </c>
      <c r="M53" s="22">
        <f t="shared" si="15"/>
        <v>0</v>
      </c>
      <c r="N53" s="24">
        <v>5</v>
      </c>
      <c r="O53" s="25">
        <v>1</v>
      </c>
      <c r="P53" s="25">
        <f t="shared" si="16"/>
        <v>0</v>
      </c>
      <c r="Q53" s="26"/>
      <c r="R53" s="26"/>
      <c r="S53" s="26"/>
      <c r="T53" s="27"/>
      <c r="U53" s="28">
        <f t="shared" si="17"/>
        <v>0</v>
      </c>
      <c r="V53" s="22"/>
      <c r="W53" s="22"/>
      <c r="X53" s="40"/>
      <c r="Y53" s="22"/>
      <c r="Z53" s="40"/>
      <c r="AA53" s="83"/>
      <c r="AB53" s="83"/>
      <c r="AC53" s="29" t="str">
        <f t="shared" si="20"/>
        <v/>
      </c>
      <c r="AD53" s="30" t="str">
        <f t="shared" si="21"/>
        <v/>
      </c>
      <c r="AE53" s="30" t="str">
        <f t="shared" si="22"/>
        <v/>
      </c>
      <c r="AF53" s="2"/>
    </row>
    <row r="54" spans="1:33" ht="20.25" customHeight="1" x14ac:dyDescent="0.3">
      <c r="A54" s="31">
        <f>+A53</f>
        <v>44085</v>
      </c>
      <c r="B54" s="32">
        <f t="shared" si="12"/>
        <v>37</v>
      </c>
      <c r="C54" s="62">
        <f t="shared" si="13"/>
        <v>44085</v>
      </c>
      <c r="D54" s="19">
        <v>3</v>
      </c>
      <c r="E54" s="20"/>
      <c r="F54" s="21"/>
      <c r="G54" s="22"/>
      <c r="H54" s="22"/>
      <c r="I54" s="21"/>
      <c r="J54" s="22"/>
      <c r="K54" s="22"/>
      <c r="L54" s="23">
        <f t="shared" si="14"/>
        <v>0</v>
      </c>
      <c r="M54" s="22">
        <f t="shared" si="15"/>
        <v>0</v>
      </c>
      <c r="N54" s="24">
        <v>5</v>
      </c>
      <c r="O54" s="25">
        <v>1</v>
      </c>
      <c r="P54" s="25">
        <f t="shared" si="16"/>
        <v>0</v>
      </c>
      <c r="Q54" s="26"/>
      <c r="R54" s="26"/>
      <c r="S54" s="26"/>
      <c r="T54" s="27"/>
      <c r="U54" s="28">
        <f t="shared" si="17"/>
        <v>0</v>
      </c>
      <c r="V54" s="22"/>
      <c r="W54" s="22"/>
      <c r="X54" s="40"/>
      <c r="Y54" s="22"/>
      <c r="Z54" s="40"/>
      <c r="AA54" s="40"/>
      <c r="AB54" s="40"/>
      <c r="AC54" s="29" t="str">
        <f t="shared" si="20"/>
        <v/>
      </c>
      <c r="AD54" s="30" t="str">
        <f t="shared" si="21"/>
        <v/>
      </c>
      <c r="AE54" s="30" t="str">
        <f t="shared" si="22"/>
        <v/>
      </c>
      <c r="AF54" s="2"/>
    </row>
    <row r="55" spans="1:33" ht="20.25" customHeight="1" x14ac:dyDescent="0.3">
      <c r="A55" s="31">
        <f>+A54</f>
        <v>44085</v>
      </c>
      <c r="B55" s="32">
        <f t="shared" si="12"/>
        <v>37</v>
      </c>
      <c r="C55" s="62">
        <f t="shared" si="13"/>
        <v>44085</v>
      </c>
      <c r="D55" s="19">
        <v>4</v>
      </c>
      <c r="E55" s="20"/>
      <c r="F55" s="21"/>
      <c r="G55" s="22"/>
      <c r="H55" s="22"/>
      <c r="I55" s="21"/>
      <c r="J55" s="22"/>
      <c r="K55" s="22"/>
      <c r="L55" s="23">
        <f t="shared" si="14"/>
        <v>0</v>
      </c>
      <c r="M55" s="22">
        <f t="shared" si="15"/>
        <v>0</v>
      </c>
      <c r="N55" s="24">
        <v>5</v>
      </c>
      <c r="O55" s="25">
        <v>1</v>
      </c>
      <c r="P55" s="25">
        <f t="shared" si="16"/>
        <v>0</v>
      </c>
      <c r="Q55" s="26"/>
      <c r="R55" s="26"/>
      <c r="S55" s="26"/>
      <c r="T55" s="27"/>
      <c r="U55" s="28">
        <f t="shared" si="17"/>
        <v>0</v>
      </c>
      <c r="V55" s="22"/>
      <c r="W55" s="22"/>
      <c r="X55" s="40"/>
      <c r="Y55" s="22"/>
      <c r="Z55" s="40"/>
      <c r="AA55" s="40"/>
      <c r="AB55" s="40"/>
      <c r="AC55" s="29" t="str">
        <f t="shared" si="20"/>
        <v/>
      </c>
      <c r="AD55" s="30" t="str">
        <f t="shared" si="21"/>
        <v/>
      </c>
      <c r="AE55" s="30" t="str">
        <f t="shared" si="22"/>
        <v/>
      </c>
      <c r="AF55" s="6">
        <f>+SUM(AD52:AD56)</f>
        <v>0</v>
      </c>
      <c r="AG55" s="6">
        <f>+SUM(AE51:AE56)</f>
        <v>0</v>
      </c>
    </row>
    <row r="56" spans="1:33" ht="20.25" customHeight="1" x14ac:dyDescent="0.3">
      <c r="A56" s="33">
        <f>+A55</f>
        <v>44085</v>
      </c>
      <c r="B56" s="34">
        <f t="shared" si="12"/>
        <v>37</v>
      </c>
      <c r="C56" s="63">
        <f t="shared" si="13"/>
        <v>44085</v>
      </c>
      <c r="D56" s="19">
        <v>5</v>
      </c>
      <c r="E56" s="20"/>
      <c r="F56" s="21"/>
      <c r="G56" s="22"/>
      <c r="H56" s="22"/>
      <c r="I56" s="21"/>
      <c r="J56" s="22"/>
      <c r="K56" s="22"/>
      <c r="L56" s="23">
        <f t="shared" si="14"/>
        <v>0</v>
      </c>
      <c r="M56" s="22">
        <f t="shared" si="15"/>
        <v>0</v>
      </c>
      <c r="N56" s="24">
        <v>5</v>
      </c>
      <c r="O56" s="25">
        <v>1</v>
      </c>
      <c r="P56" s="25">
        <f t="shared" si="16"/>
        <v>0</v>
      </c>
      <c r="Q56" s="26"/>
      <c r="R56" s="26"/>
      <c r="S56" s="26"/>
      <c r="T56" s="27"/>
      <c r="U56" s="28">
        <f t="shared" si="17"/>
        <v>0</v>
      </c>
      <c r="V56" s="22"/>
      <c r="W56" s="22"/>
      <c r="X56" s="40"/>
      <c r="Y56" s="22"/>
      <c r="Z56" s="40"/>
      <c r="AA56" s="40"/>
      <c r="AB56" s="40"/>
      <c r="AC56" s="29" t="str">
        <f t="shared" si="20"/>
        <v/>
      </c>
      <c r="AD56" s="30" t="str">
        <f t="shared" si="21"/>
        <v/>
      </c>
      <c r="AE56" s="30" t="str">
        <f t="shared" si="22"/>
        <v/>
      </c>
      <c r="AF56" s="7">
        <f>+COUNT(AD52:AD56)</f>
        <v>0</v>
      </c>
      <c r="AG56" s="7">
        <f>+COUNT(AE51:AE56)</f>
        <v>0</v>
      </c>
    </row>
    <row r="57" spans="1:33" ht="20.25" customHeight="1" x14ac:dyDescent="0.3">
      <c r="A57" s="17">
        <f>+A52+1</f>
        <v>44086</v>
      </c>
      <c r="B57" s="18">
        <f>WEEKNUM(A57,2)</f>
        <v>37</v>
      </c>
      <c r="C57" s="61">
        <f t="shared" si="13"/>
        <v>44086</v>
      </c>
      <c r="D57" s="19">
        <v>1</v>
      </c>
      <c r="E57" s="20"/>
      <c r="F57" s="21"/>
      <c r="G57" s="22"/>
      <c r="H57" s="22"/>
      <c r="I57" s="21"/>
      <c r="J57" s="22"/>
      <c r="K57" s="22"/>
      <c r="L57" s="23">
        <f t="shared" si="14"/>
        <v>0</v>
      </c>
      <c r="M57" s="22">
        <f t="shared" si="15"/>
        <v>0</v>
      </c>
      <c r="N57" s="24">
        <v>5</v>
      </c>
      <c r="O57" s="25">
        <v>1</v>
      </c>
      <c r="P57" s="25">
        <f t="shared" si="16"/>
        <v>0</v>
      </c>
      <c r="Q57" s="26"/>
      <c r="R57" s="26"/>
      <c r="S57" s="26"/>
      <c r="T57" s="27"/>
      <c r="U57" s="28">
        <f t="shared" si="17"/>
        <v>0</v>
      </c>
      <c r="V57" s="22">
        <f>SUM(U57:U61)</f>
        <v>0</v>
      </c>
      <c r="W57" s="84">
        <f>+Tabla1[[#This Row],[RESULTADO DEL DÍA]]+W52</f>
        <v>1269.5000000000005</v>
      </c>
      <c r="X57" s="22">
        <f>+X52+Tabla1[[#This Row],[Objetivo presupuestado]]</f>
        <v>1299</v>
      </c>
      <c r="Y57" s="22" t="str">
        <f t="shared" ref="Y57" si="37">IF(AF57=0,"0",10)</f>
        <v>0</v>
      </c>
      <c r="Z57" s="22" t="str">
        <f t="shared" ref="Z57" si="38">IF(AF57=0,"0",50)</f>
        <v>0</v>
      </c>
      <c r="AA57" s="27">
        <f>+IFERROR(AF60/(AG60*-1),AF60)</f>
        <v>0</v>
      </c>
      <c r="AB57" s="85" t="str">
        <f>+IFERROR(AF61/AF57,"0")</f>
        <v>0</v>
      </c>
      <c r="AC57" s="29" t="str">
        <f t="shared" si="20"/>
        <v/>
      </c>
      <c r="AD57" s="30" t="str">
        <f t="shared" si="21"/>
        <v/>
      </c>
      <c r="AE57" s="30" t="str">
        <f t="shared" si="22"/>
        <v/>
      </c>
      <c r="AF57" s="9">
        <f>+COUNTIF(AC57:AC61,"1")</f>
        <v>0</v>
      </c>
    </row>
    <row r="58" spans="1:33" ht="20.25" customHeight="1" x14ac:dyDescent="0.3">
      <c r="A58" s="31">
        <f>+A57</f>
        <v>44086</v>
      </c>
      <c r="B58" s="32">
        <f t="shared" si="12"/>
        <v>37</v>
      </c>
      <c r="C58" s="62">
        <f t="shared" si="13"/>
        <v>44086</v>
      </c>
      <c r="D58" s="19">
        <v>2</v>
      </c>
      <c r="E58" s="20"/>
      <c r="F58" s="21"/>
      <c r="G58" s="22"/>
      <c r="H58" s="22"/>
      <c r="I58" s="21"/>
      <c r="J58" s="22"/>
      <c r="K58" s="22"/>
      <c r="L58" s="23">
        <f t="shared" si="14"/>
        <v>0</v>
      </c>
      <c r="M58" s="22">
        <f t="shared" si="15"/>
        <v>0</v>
      </c>
      <c r="N58" s="24">
        <v>5</v>
      </c>
      <c r="O58" s="25">
        <v>1</v>
      </c>
      <c r="P58" s="25">
        <f t="shared" si="16"/>
        <v>0</v>
      </c>
      <c r="Q58" s="26"/>
      <c r="R58" s="26"/>
      <c r="S58" s="26"/>
      <c r="T58" s="27"/>
      <c r="U58" s="28">
        <f t="shared" si="17"/>
        <v>0</v>
      </c>
      <c r="V58" s="22"/>
      <c r="W58" s="22"/>
      <c r="X58" s="40"/>
      <c r="Y58" s="22"/>
      <c r="Z58" s="40"/>
      <c r="AA58" s="83"/>
      <c r="AB58" s="83"/>
      <c r="AC58" s="29" t="str">
        <f t="shared" si="20"/>
        <v/>
      </c>
      <c r="AD58" s="30" t="str">
        <f t="shared" si="21"/>
        <v/>
      </c>
      <c r="AE58" s="30" t="str">
        <f t="shared" si="22"/>
        <v/>
      </c>
      <c r="AF58" s="2"/>
    </row>
    <row r="59" spans="1:33" ht="20.25" customHeight="1" x14ac:dyDescent="0.3">
      <c r="A59" s="31">
        <f>+A58</f>
        <v>44086</v>
      </c>
      <c r="B59" s="32">
        <f t="shared" si="12"/>
        <v>37</v>
      </c>
      <c r="C59" s="62">
        <f t="shared" si="13"/>
        <v>44086</v>
      </c>
      <c r="D59" s="19">
        <v>3</v>
      </c>
      <c r="E59" s="20"/>
      <c r="F59" s="21"/>
      <c r="G59" s="22"/>
      <c r="H59" s="22"/>
      <c r="I59" s="21"/>
      <c r="J59" s="22"/>
      <c r="K59" s="22"/>
      <c r="L59" s="23">
        <f t="shared" si="14"/>
        <v>0</v>
      </c>
      <c r="M59" s="22">
        <f t="shared" si="15"/>
        <v>0</v>
      </c>
      <c r="N59" s="24">
        <v>5</v>
      </c>
      <c r="O59" s="25">
        <v>1</v>
      </c>
      <c r="P59" s="25">
        <f t="shared" si="16"/>
        <v>0</v>
      </c>
      <c r="Q59" s="26"/>
      <c r="R59" s="26"/>
      <c r="S59" s="26"/>
      <c r="T59" s="27"/>
      <c r="U59" s="28">
        <f t="shared" si="17"/>
        <v>0</v>
      </c>
      <c r="V59" s="22"/>
      <c r="W59" s="22"/>
      <c r="X59" s="40"/>
      <c r="Y59" s="22"/>
      <c r="Z59" s="40"/>
      <c r="AA59" s="40"/>
      <c r="AB59" s="40"/>
      <c r="AC59" s="29" t="str">
        <f t="shared" si="20"/>
        <v/>
      </c>
      <c r="AD59" s="30" t="str">
        <f t="shared" si="21"/>
        <v/>
      </c>
      <c r="AE59" s="30" t="str">
        <f t="shared" si="22"/>
        <v/>
      </c>
      <c r="AF59" s="2"/>
    </row>
    <row r="60" spans="1:33" ht="20.25" customHeight="1" x14ac:dyDescent="0.3">
      <c r="A60" s="31">
        <f>+A59</f>
        <v>44086</v>
      </c>
      <c r="B60" s="32">
        <f t="shared" si="12"/>
        <v>37</v>
      </c>
      <c r="C60" s="62">
        <f t="shared" si="13"/>
        <v>44086</v>
      </c>
      <c r="D60" s="19">
        <v>4</v>
      </c>
      <c r="E60" s="20"/>
      <c r="F60" s="21"/>
      <c r="G60" s="22"/>
      <c r="H60" s="22"/>
      <c r="I60" s="21"/>
      <c r="J60" s="22"/>
      <c r="K60" s="22"/>
      <c r="L60" s="23">
        <f t="shared" si="14"/>
        <v>0</v>
      </c>
      <c r="M60" s="22">
        <f t="shared" si="15"/>
        <v>0</v>
      </c>
      <c r="N60" s="24">
        <v>5</v>
      </c>
      <c r="O60" s="25">
        <v>1</v>
      </c>
      <c r="P60" s="25">
        <f t="shared" si="16"/>
        <v>0</v>
      </c>
      <c r="Q60" s="26"/>
      <c r="R60" s="26"/>
      <c r="S60" s="26"/>
      <c r="T60" s="27"/>
      <c r="U60" s="28">
        <f t="shared" si="17"/>
        <v>0</v>
      </c>
      <c r="V60" s="22"/>
      <c r="W60" s="22"/>
      <c r="X60" s="40"/>
      <c r="Y60" s="22"/>
      <c r="Z60" s="40"/>
      <c r="AA60" s="40"/>
      <c r="AB60" s="40"/>
      <c r="AC60" s="29" t="str">
        <f t="shared" si="20"/>
        <v/>
      </c>
      <c r="AD60" s="30" t="str">
        <f t="shared" si="21"/>
        <v/>
      </c>
      <c r="AE60" s="30" t="str">
        <f t="shared" si="22"/>
        <v/>
      </c>
      <c r="AF60" s="6">
        <f>+SUM(AD57:AD61)</f>
        <v>0</v>
      </c>
      <c r="AG60" s="6">
        <f>+SUM(AE56:AE61)</f>
        <v>0</v>
      </c>
    </row>
    <row r="61" spans="1:33" ht="20.25" customHeight="1" x14ac:dyDescent="0.3">
      <c r="A61" s="33">
        <f>+A60</f>
        <v>44086</v>
      </c>
      <c r="B61" s="34">
        <f t="shared" si="12"/>
        <v>37</v>
      </c>
      <c r="C61" s="63">
        <f t="shared" si="13"/>
        <v>44086</v>
      </c>
      <c r="D61" s="19">
        <v>5</v>
      </c>
      <c r="E61" s="20"/>
      <c r="F61" s="21"/>
      <c r="G61" s="22"/>
      <c r="H61" s="22"/>
      <c r="I61" s="21"/>
      <c r="J61" s="22"/>
      <c r="K61" s="22"/>
      <c r="L61" s="23">
        <f t="shared" si="14"/>
        <v>0</v>
      </c>
      <c r="M61" s="22">
        <f t="shared" si="15"/>
        <v>0</v>
      </c>
      <c r="N61" s="24">
        <v>5</v>
      </c>
      <c r="O61" s="25">
        <v>1</v>
      </c>
      <c r="P61" s="25">
        <f t="shared" si="16"/>
        <v>0</v>
      </c>
      <c r="Q61" s="26"/>
      <c r="R61" s="26"/>
      <c r="S61" s="26"/>
      <c r="T61" s="27"/>
      <c r="U61" s="28">
        <f t="shared" si="17"/>
        <v>0</v>
      </c>
      <c r="V61" s="22"/>
      <c r="W61" s="22"/>
      <c r="X61" s="40"/>
      <c r="Y61" s="22"/>
      <c r="Z61" s="40"/>
      <c r="AA61" s="40"/>
      <c r="AB61" s="40"/>
      <c r="AC61" s="29" t="str">
        <f t="shared" si="20"/>
        <v/>
      </c>
      <c r="AD61" s="30" t="str">
        <f t="shared" si="21"/>
        <v/>
      </c>
      <c r="AE61" s="30" t="str">
        <f t="shared" si="22"/>
        <v/>
      </c>
      <c r="AF61" s="7">
        <f>+COUNT(AD57:AD61)</f>
        <v>0</v>
      </c>
      <c r="AG61" s="7">
        <f>+COUNT(AE56:AE61)</f>
        <v>0</v>
      </c>
    </row>
    <row r="62" spans="1:33" ht="20.25" customHeight="1" x14ac:dyDescent="0.3">
      <c r="A62" s="17">
        <f>+A57+1</f>
        <v>44087</v>
      </c>
      <c r="B62" s="18">
        <f>WEEKNUM(A62,2)</f>
        <v>37</v>
      </c>
      <c r="C62" s="61">
        <f t="shared" si="13"/>
        <v>44087</v>
      </c>
      <c r="D62" s="19">
        <v>1</v>
      </c>
      <c r="E62" s="20"/>
      <c r="F62" s="21"/>
      <c r="G62" s="22"/>
      <c r="H62" s="22"/>
      <c r="I62" s="21"/>
      <c r="J62" s="22"/>
      <c r="K62" s="22"/>
      <c r="L62" s="23">
        <f t="shared" si="14"/>
        <v>0</v>
      </c>
      <c r="M62" s="22">
        <f t="shared" si="15"/>
        <v>0</v>
      </c>
      <c r="N62" s="24">
        <v>5</v>
      </c>
      <c r="O62" s="25">
        <v>1</v>
      </c>
      <c r="P62" s="25">
        <f t="shared" si="16"/>
        <v>0</v>
      </c>
      <c r="Q62" s="26"/>
      <c r="R62" s="26"/>
      <c r="S62" s="26"/>
      <c r="T62" s="27"/>
      <c r="U62" s="28">
        <f t="shared" si="17"/>
        <v>0</v>
      </c>
      <c r="V62" s="22">
        <f>SUM(U62:U66)</f>
        <v>0</v>
      </c>
      <c r="W62" s="84">
        <f>+Tabla1[[#This Row],[RESULTADO DEL DÍA]]+W57</f>
        <v>1269.5000000000005</v>
      </c>
      <c r="X62" s="22">
        <f>+X57+Tabla1[[#This Row],[Objetivo presupuestado]]</f>
        <v>1299</v>
      </c>
      <c r="Y62" s="22" t="str">
        <f t="shared" ref="Y62" si="39">IF(AF62=0,"0",10)</f>
        <v>0</v>
      </c>
      <c r="Z62" s="22" t="str">
        <f t="shared" ref="Z62" si="40">IF(AF62=0,"0",50)</f>
        <v>0</v>
      </c>
      <c r="AA62" s="27">
        <f>+IFERROR(AF65/(AG65*-1),AF65)</f>
        <v>0</v>
      </c>
      <c r="AB62" s="85" t="str">
        <f>+IFERROR(AF66/AF62,"0")</f>
        <v>0</v>
      </c>
      <c r="AC62" s="29" t="str">
        <f t="shared" si="20"/>
        <v/>
      </c>
      <c r="AD62" s="30" t="str">
        <f t="shared" si="21"/>
        <v/>
      </c>
      <c r="AE62" s="30" t="str">
        <f t="shared" si="22"/>
        <v/>
      </c>
      <c r="AF62" s="9">
        <f>+COUNTIF(AC62:AC66,"1")</f>
        <v>0</v>
      </c>
    </row>
    <row r="63" spans="1:33" ht="20.25" customHeight="1" x14ac:dyDescent="0.3">
      <c r="A63" s="31">
        <f>+A62</f>
        <v>44087</v>
      </c>
      <c r="B63" s="32">
        <f t="shared" si="12"/>
        <v>37</v>
      </c>
      <c r="C63" s="62">
        <f t="shared" si="13"/>
        <v>44087</v>
      </c>
      <c r="D63" s="19">
        <v>2</v>
      </c>
      <c r="E63" s="20"/>
      <c r="F63" s="21"/>
      <c r="G63" s="22"/>
      <c r="H63" s="22"/>
      <c r="I63" s="21"/>
      <c r="J63" s="22"/>
      <c r="K63" s="22"/>
      <c r="L63" s="23">
        <f t="shared" si="14"/>
        <v>0</v>
      </c>
      <c r="M63" s="22">
        <f t="shared" si="15"/>
        <v>0</v>
      </c>
      <c r="N63" s="24">
        <v>5</v>
      </c>
      <c r="O63" s="25">
        <v>1</v>
      </c>
      <c r="P63" s="25">
        <f t="shared" si="16"/>
        <v>0</v>
      </c>
      <c r="Q63" s="26"/>
      <c r="R63" s="26"/>
      <c r="S63" s="26"/>
      <c r="T63" s="27"/>
      <c r="U63" s="28">
        <f t="shared" si="17"/>
        <v>0</v>
      </c>
      <c r="V63" s="22"/>
      <c r="W63" s="22"/>
      <c r="X63" s="40"/>
      <c r="Y63" s="22"/>
      <c r="Z63" s="40"/>
      <c r="AA63" s="83"/>
      <c r="AB63" s="83"/>
      <c r="AC63" s="29" t="str">
        <f t="shared" si="20"/>
        <v/>
      </c>
      <c r="AD63" s="30" t="str">
        <f t="shared" si="21"/>
        <v/>
      </c>
      <c r="AE63" s="30" t="str">
        <f t="shared" si="22"/>
        <v/>
      </c>
      <c r="AF63" s="2"/>
    </row>
    <row r="64" spans="1:33" ht="20.25" customHeight="1" x14ac:dyDescent="0.3">
      <c r="A64" s="31">
        <f>+A63</f>
        <v>44087</v>
      </c>
      <c r="B64" s="32">
        <f t="shared" si="12"/>
        <v>37</v>
      </c>
      <c r="C64" s="62">
        <f t="shared" si="13"/>
        <v>44087</v>
      </c>
      <c r="D64" s="19">
        <v>3</v>
      </c>
      <c r="E64" s="20"/>
      <c r="F64" s="21"/>
      <c r="G64" s="22"/>
      <c r="H64" s="22"/>
      <c r="I64" s="21"/>
      <c r="J64" s="22"/>
      <c r="K64" s="22"/>
      <c r="L64" s="23">
        <f t="shared" si="14"/>
        <v>0</v>
      </c>
      <c r="M64" s="22">
        <f t="shared" si="15"/>
        <v>0</v>
      </c>
      <c r="N64" s="24">
        <v>5</v>
      </c>
      <c r="O64" s="25">
        <v>1</v>
      </c>
      <c r="P64" s="25">
        <f t="shared" si="16"/>
        <v>0</v>
      </c>
      <c r="Q64" s="26"/>
      <c r="R64" s="26"/>
      <c r="S64" s="26"/>
      <c r="T64" s="27"/>
      <c r="U64" s="28">
        <f t="shared" si="17"/>
        <v>0</v>
      </c>
      <c r="V64" s="22"/>
      <c r="W64" s="22"/>
      <c r="X64" s="40"/>
      <c r="Y64" s="22"/>
      <c r="Z64" s="40"/>
      <c r="AA64" s="40"/>
      <c r="AB64" s="40"/>
      <c r="AC64" s="29" t="str">
        <f t="shared" si="20"/>
        <v/>
      </c>
      <c r="AD64" s="30" t="str">
        <f t="shared" si="21"/>
        <v/>
      </c>
      <c r="AE64" s="30" t="str">
        <f t="shared" si="22"/>
        <v/>
      </c>
      <c r="AF64" s="2"/>
    </row>
    <row r="65" spans="1:33" ht="20.25" customHeight="1" x14ac:dyDescent="0.3">
      <c r="A65" s="31">
        <f>+A64</f>
        <v>44087</v>
      </c>
      <c r="B65" s="32">
        <f t="shared" si="12"/>
        <v>37</v>
      </c>
      <c r="C65" s="62">
        <f t="shared" si="13"/>
        <v>44087</v>
      </c>
      <c r="D65" s="19">
        <v>4</v>
      </c>
      <c r="E65" s="20"/>
      <c r="F65" s="21"/>
      <c r="G65" s="22"/>
      <c r="H65" s="22"/>
      <c r="I65" s="21"/>
      <c r="J65" s="22"/>
      <c r="K65" s="22"/>
      <c r="L65" s="23">
        <f t="shared" si="14"/>
        <v>0</v>
      </c>
      <c r="M65" s="22">
        <f t="shared" si="15"/>
        <v>0</v>
      </c>
      <c r="N65" s="24">
        <v>5</v>
      </c>
      <c r="O65" s="25">
        <v>1</v>
      </c>
      <c r="P65" s="25">
        <f t="shared" si="16"/>
        <v>0</v>
      </c>
      <c r="Q65" s="26"/>
      <c r="R65" s="26"/>
      <c r="S65" s="26"/>
      <c r="T65" s="27"/>
      <c r="U65" s="28">
        <f t="shared" si="17"/>
        <v>0</v>
      </c>
      <c r="V65" s="22"/>
      <c r="W65" s="22"/>
      <c r="X65" s="40"/>
      <c r="Y65" s="22"/>
      <c r="Z65" s="40"/>
      <c r="AA65" s="40"/>
      <c r="AB65" s="40"/>
      <c r="AC65" s="29" t="str">
        <f t="shared" si="20"/>
        <v/>
      </c>
      <c r="AD65" s="30" t="str">
        <f t="shared" si="21"/>
        <v/>
      </c>
      <c r="AE65" s="30" t="str">
        <f t="shared" si="22"/>
        <v/>
      </c>
      <c r="AF65" s="6">
        <f>+SUM(AD62:AD66)</f>
        <v>0</v>
      </c>
      <c r="AG65" s="6">
        <f>+SUM(AE61:AE66)</f>
        <v>0</v>
      </c>
    </row>
    <row r="66" spans="1:33" ht="20.25" customHeight="1" x14ac:dyDescent="0.3">
      <c r="A66" s="33">
        <f>+A65</f>
        <v>44087</v>
      </c>
      <c r="B66" s="34">
        <f t="shared" si="12"/>
        <v>37</v>
      </c>
      <c r="C66" s="63">
        <f t="shared" si="13"/>
        <v>44087</v>
      </c>
      <c r="D66" s="19">
        <v>5</v>
      </c>
      <c r="E66" s="20"/>
      <c r="F66" s="21"/>
      <c r="G66" s="22"/>
      <c r="H66" s="22"/>
      <c r="I66" s="21"/>
      <c r="J66" s="22"/>
      <c r="K66" s="22"/>
      <c r="L66" s="23">
        <f t="shared" si="14"/>
        <v>0</v>
      </c>
      <c r="M66" s="22">
        <f t="shared" si="15"/>
        <v>0</v>
      </c>
      <c r="N66" s="24">
        <v>5</v>
      </c>
      <c r="O66" s="25">
        <v>1</v>
      </c>
      <c r="P66" s="25">
        <f t="shared" si="16"/>
        <v>0</v>
      </c>
      <c r="Q66" s="26"/>
      <c r="R66" s="26"/>
      <c r="S66" s="26"/>
      <c r="T66" s="27"/>
      <c r="U66" s="28">
        <f t="shared" si="17"/>
        <v>0</v>
      </c>
      <c r="V66" s="22"/>
      <c r="W66" s="22"/>
      <c r="X66" s="40"/>
      <c r="Y66" s="22"/>
      <c r="Z66" s="40"/>
      <c r="AA66" s="40"/>
      <c r="AB66" s="40"/>
      <c r="AC66" s="29" t="str">
        <f t="shared" si="20"/>
        <v/>
      </c>
      <c r="AD66" s="30" t="str">
        <f t="shared" si="21"/>
        <v/>
      </c>
      <c r="AE66" s="30" t="str">
        <f t="shared" si="22"/>
        <v/>
      </c>
      <c r="AF66" s="7">
        <f>+COUNT(AD62:AD66)</f>
        <v>0</v>
      </c>
      <c r="AG66" s="7">
        <f>+COUNT(AE61:AE66)</f>
        <v>0</v>
      </c>
    </row>
    <row r="67" spans="1:33" ht="20.25" customHeight="1" x14ac:dyDescent="0.3">
      <c r="A67" s="17">
        <f>+A62+1</f>
        <v>44088</v>
      </c>
      <c r="B67" s="18">
        <f>WEEKNUM(A67,2)</f>
        <v>38</v>
      </c>
      <c r="C67" s="61">
        <f t="shared" si="13"/>
        <v>44088</v>
      </c>
      <c r="D67" s="19">
        <v>1</v>
      </c>
      <c r="E67" s="20"/>
      <c r="F67" s="21"/>
      <c r="G67" s="22"/>
      <c r="H67" s="22"/>
      <c r="I67" s="21"/>
      <c r="J67" s="22"/>
      <c r="K67" s="22"/>
      <c r="L67" s="23">
        <f t="shared" si="14"/>
        <v>0</v>
      </c>
      <c r="M67" s="22">
        <f t="shared" si="15"/>
        <v>0</v>
      </c>
      <c r="N67" s="24">
        <v>5</v>
      </c>
      <c r="O67" s="25">
        <v>1</v>
      </c>
      <c r="P67" s="25">
        <f t="shared" si="16"/>
        <v>0</v>
      </c>
      <c r="Q67" s="26"/>
      <c r="R67" s="26"/>
      <c r="S67" s="26"/>
      <c r="T67" s="27"/>
      <c r="U67" s="28">
        <f t="shared" si="17"/>
        <v>0</v>
      </c>
      <c r="V67" s="22">
        <f>SUM(U67:U71)</f>
        <v>0</v>
      </c>
      <c r="W67" s="84">
        <f>+Tabla1[[#This Row],[RESULTADO DEL DÍA]]+W62</f>
        <v>1269.5000000000005</v>
      </c>
      <c r="X67" s="22">
        <f>+X62+Tabla1[[#This Row],[Objetivo presupuestado]]</f>
        <v>1299</v>
      </c>
      <c r="Y67" s="22" t="str">
        <f t="shared" ref="Y67" si="41">IF(AF67=0,"0",10)</f>
        <v>0</v>
      </c>
      <c r="Z67" s="22" t="str">
        <f t="shared" ref="Z67" si="42">IF(AF67=0,"0",50)</f>
        <v>0</v>
      </c>
      <c r="AA67" s="27">
        <f>+IFERROR(AF70/(AG70*-1),AF70)</f>
        <v>0</v>
      </c>
      <c r="AB67" s="85" t="str">
        <f>+IFERROR(AF71/AF67,"0")</f>
        <v>0</v>
      </c>
      <c r="AC67" s="29" t="str">
        <f t="shared" si="20"/>
        <v/>
      </c>
      <c r="AD67" s="30" t="str">
        <f t="shared" si="21"/>
        <v/>
      </c>
      <c r="AE67" s="30" t="str">
        <f t="shared" si="22"/>
        <v/>
      </c>
      <c r="AF67" s="9">
        <f>+COUNTIF(AC67:AC71,"1")</f>
        <v>0</v>
      </c>
    </row>
    <row r="68" spans="1:33" ht="20.25" customHeight="1" x14ac:dyDescent="0.3">
      <c r="A68" s="31">
        <f>+A67</f>
        <v>44088</v>
      </c>
      <c r="B68" s="32">
        <f t="shared" si="12"/>
        <v>38</v>
      </c>
      <c r="C68" s="62">
        <f t="shared" si="13"/>
        <v>44088</v>
      </c>
      <c r="D68" s="19">
        <v>2</v>
      </c>
      <c r="E68" s="20"/>
      <c r="F68" s="21"/>
      <c r="G68" s="22"/>
      <c r="H68" s="22"/>
      <c r="I68" s="21"/>
      <c r="J68" s="22"/>
      <c r="K68" s="22"/>
      <c r="L68" s="23">
        <f t="shared" si="14"/>
        <v>0</v>
      </c>
      <c r="M68" s="22">
        <f t="shared" si="15"/>
        <v>0</v>
      </c>
      <c r="N68" s="24">
        <v>5</v>
      </c>
      <c r="O68" s="25">
        <v>1</v>
      </c>
      <c r="P68" s="25">
        <f t="shared" si="16"/>
        <v>0</v>
      </c>
      <c r="Q68" s="26"/>
      <c r="R68" s="26"/>
      <c r="S68" s="26"/>
      <c r="T68" s="27"/>
      <c r="U68" s="28">
        <f t="shared" si="17"/>
        <v>0</v>
      </c>
      <c r="V68" s="22"/>
      <c r="W68" s="22"/>
      <c r="X68" s="40"/>
      <c r="Y68" s="22"/>
      <c r="Z68" s="40"/>
      <c r="AA68" s="83"/>
      <c r="AB68" s="83"/>
      <c r="AC68" s="29" t="str">
        <f t="shared" si="20"/>
        <v/>
      </c>
      <c r="AD68" s="30" t="str">
        <f t="shared" si="21"/>
        <v/>
      </c>
      <c r="AE68" s="30" t="str">
        <f t="shared" si="22"/>
        <v/>
      </c>
      <c r="AF68" s="2"/>
    </row>
    <row r="69" spans="1:33" ht="20.25" customHeight="1" x14ac:dyDescent="0.3">
      <c r="A69" s="31">
        <f>+A68</f>
        <v>44088</v>
      </c>
      <c r="B69" s="32">
        <f t="shared" si="12"/>
        <v>38</v>
      </c>
      <c r="C69" s="62">
        <f t="shared" si="13"/>
        <v>44088</v>
      </c>
      <c r="D69" s="19">
        <v>3</v>
      </c>
      <c r="E69" s="20"/>
      <c r="F69" s="21"/>
      <c r="G69" s="22"/>
      <c r="H69" s="22"/>
      <c r="I69" s="21"/>
      <c r="J69" s="22"/>
      <c r="K69" s="22"/>
      <c r="L69" s="23">
        <f t="shared" si="14"/>
        <v>0</v>
      </c>
      <c r="M69" s="22">
        <f t="shared" si="15"/>
        <v>0</v>
      </c>
      <c r="N69" s="24">
        <v>5</v>
      </c>
      <c r="O69" s="25">
        <v>1</v>
      </c>
      <c r="P69" s="25">
        <f t="shared" si="16"/>
        <v>0</v>
      </c>
      <c r="Q69" s="26"/>
      <c r="R69" s="26"/>
      <c r="S69" s="26"/>
      <c r="T69" s="27"/>
      <c r="U69" s="28">
        <f t="shared" si="17"/>
        <v>0</v>
      </c>
      <c r="V69" s="22"/>
      <c r="W69" s="22"/>
      <c r="X69" s="40"/>
      <c r="Y69" s="22"/>
      <c r="Z69" s="40"/>
      <c r="AA69" s="40"/>
      <c r="AB69" s="40"/>
      <c r="AC69" s="29" t="str">
        <f t="shared" si="20"/>
        <v/>
      </c>
      <c r="AD69" s="30" t="str">
        <f t="shared" si="21"/>
        <v/>
      </c>
      <c r="AE69" s="30" t="str">
        <f t="shared" si="22"/>
        <v/>
      </c>
      <c r="AF69" s="2"/>
    </row>
    <row r="70" spans="1:33" ht="20.25" customHeight="1" x14ac:dyDescent="0.3">
      <c r="A70" s="31">
        <f>+A69</f>
        <v>44088</v>
      </c>
      <c r="B70" s="32">
        <f t="shared" si="12"/>
        <v>38</v>
      </c>
      <c r="C70" s="62">
        <f t="shared" si="13"/>
        <v>44088</v>
      </c>
      <c r="D70" s="19">
        <v>4</v>
      </c>
      <c r="E70" s="20"/>
      <c r="F70" s="21"/>
      <c r="G70" s="22"/>
      <c r="H70" s="22"/>
      <c r="I70" s="21"/>
      <c r="J70" s="22"/>
      <c r="K70" s="22"/>
      <c r="L70" s="23">
        <f t="shared" si="14"/>
        <v>0</v>
      </c>
      <c r="M70" s="22">
        <f t="shared" si="15"/>
        <v>0</v>
      </c>
      <c r="N70" s="24">
        <v>5</v>
      </c>
      <c r="O70" s="25">
        <v>1</v>
      </c>
      <c r="P70" s="25">
        <f t="shared" si="16"/>
        <v>0</v>
      </c>
      <c r="Q70" s="26"/>
      <c r="R70" s="26"/>
      <c r="S70" s="26"/>
      <c r="T70" s="27"/>
      <c r="U70" s="28">
        <f t="shared" si="17"/>
        <v>0</v>
      </c>
      <c r="V70" s="22"/>
      <c r="W70" s="22"/>
      <c r="X70" s="40"/>
      <c r="Y70" s="22"/>
      <c r="Z70" s="40"/>
      <c r="AA70" s="40"/>
      <c r="AB70" s="40"/>
      <c r="AC70" s="29" t="str">
        <f t="shared" si="20"/>
        <v/>
      </c>
      <c r="AD70" s="30" t="str">
        <f t="shared" si="21"/>
        <v/>
      </c>
      <c r="AE70" s="30" t="str">
        <f t="shared" si="22"/>
        <v/>
      </c>
      <c r="AF70" s="6">
        <f>+SUM(AD67:AD71)</f>
        <v>0</v>
      </c>
      <c r="AG70" s="6">
        <f>+SUM(AE66:AE71)</f>
        <v>0</v>
      </c>
    </row>
    <row r="71" spans="1:33" ht="20.25" customHeight="1" x14ac:dyDescent="0.3">
      <c r="A71" s="33">
        <f>+A70</f>
        <v>44088</v>
      </c>
      <c r="B71" s="34">
        <f t="shared" si="12"/>
        <v>38</v>
      </c>
      <c r="C71" s="63">
        <f t="shared" si="13"/>
        <v>44088</v>
      </c>
      <c r="D71" s="19">
        <v>5</v>
      </c>
      <c r="E71" s="20"/>
      <c r="F71" s="21"/>
      <c r="G71" s="22"/>
      <c r="H71" s="22"/>
      <c r="I71" s="21"/>
      <c r="J71" s="22"/>
      <c r="K71" s="22"/>
      <c r="L71" s="23">
        <f t="shared" si="14"/>
        <v>0</v>
      </c>
      <c r="M71" s="22">
        <f t="shared" si="15"/>
        <v>0</v>
      </c>
      <c r="N71" s="24">
        <v>5</v>
      </c>
      <c r="O71" s="25">
        <v>1</v>
      </c>
      <c r="P71" s="25">
        <f t="shared" si="16"/>
        <v>0</v>
      </c>
      <c r="Q71" s="26"/>
      <c r="R71" s="26"/>
      <c r="S71" s="26"/>
      <c r="T71" s="27"/>
      <c r="U71" s="28">
        <f t="shared" si="17"/>
        <v>0</v>
      </c>
      <c r="V71" s="22"/>
      <c r="W71" s="22"/>
      <c r="X71" s="40"/>
      <c r="Y71" s="22"/>
      <c r="Z71" s="40"/>
      <c r="AA71" s="40"/>
      <c r="AB71" s="40"/>
      <c r="AC71" s="29" t="str">
        <f t="shared" si="20"/>
        <v/>
      </c>
      <c r="AD71" s="30" t="str">
        <f t="shared" si="21"/>
        <v/>
      </c>
      <c r="AE71" s="30" t="str">
        <f t="shared" si="22"/>
        <v/>
      </c>
      <c r="AF71" s="7">
        <f>+COUNT(AD67:AD71)</f>
        <v>0</v>
      </c>
      <c r="AG71" s="7">
        <f>+COUNT(AE66:AE71)</f>
        <v>0</v>
      </c>
    </row>
    <row r="72" spans="1:33" ht="20.25" customHeight="1" x14ac:dyDescent="0.3">
      <c r="A72" s="17">
        <f>+A67+1</f>
        <v>44089</v>
      </c>
      <c r="B72" s="18">
        <f>WEEKNUM(A72,2)</f>
        <v>38</v>
      </c>
      <c r="C72" s="61">
        <f t="shared" si="13"/>
        <v>44089</v>
      </c>
      <c r="D72" s="19">
        <v>1</v>
      </c>
      <c r="E72" s="20"/>
      <c r="F72" s="21"/>
      <c r="G72" s="22"/>
      <c r="H72" s="22"/>
      <c r="I72" s="21"/>
      <c r="J72" s="22"/>
      <c r="K72" s="22"/>
      <c r="L72" s="23">
        <f t="shared" si="14"/>
        <v>0</v>
      </c>
      <c r="M72" s="22">
        <f t="shared" si="15"/>
        <v>0</v>
      </c>
      <c r="N72" s="24">
        <v>5</v>
      </c>
      <c r="O72" s="25">
        <v>1</v>
      </c>
      <c r="P72" s="25">
        <f t="shared" si="16"/>
        <v>0</v>
      </c>
      <c r="Q72" s="26"/>
      <c r="R72" s="26"/>
      <c r="S72" s="26"/>
      <c r="T72" s="27"/>
      <c r="U72" s="28">
        <f t="shared" si="17"/>
        <v>0</v>
      </c>
      <c r="V72" s="22">
        <f>SUM(U72:U76)</f>
        <v>0</v>
      </c>
      <c r="W72" s="84">
        <f>+Tabla1[[#This Row],[RESULTADO DEL DÍA]]+W67</f>
        <v>1269.5000000000005</v>
      </c>
      <c r="X72" s="22">
        <f>+X67+Tabla1[[#This Row],[Objetivo presupuestado]]</f>
        <v>1299</v>
      </c>
      <c r="Y72" s="22" t="str">
        <f t="shared" ref="Y72" si="43">IF(AF72=0,"0",10)</f>
        <v>0</v>
      </c>
      <c r="Z72" s="22" t="str">
        <f t="shared" ref="Z72" si="44">IF(AF72=0,"0",50)</f>
        <v>0</v>
      </c>
      <c r="AA72" s="27">
        <f>+IFERROR(AF75/(AG75*-1),AF75)</f>
        <v>0</v>
      </c>
      <c r="AB72" s="85" t="str">
        <f>+IFERROR(AF76/AF72,"0")</f>
        <v>0</v>
      </c>
      <c r="AC72" s="29" t="str">
        <f t="shared" si="20"/>
        <v/>
      </c>
      <c r="AD72" s="30" t="str">
        <f t="shared" si="21"/>
        <v/>
      </c>
      <c r="AE72" s="30" t="str">
        <f t="shared" si="22"/>
        <v/>
      </c>
      <c r="AF72" s="9">
        <f>+COUNTIF(AC72:AC76,"1")</f>
        <v>0</v>
      </c>
    </row>
    <row r="73" spans="1:33" ht="20.25" customHeight="1" x14ac:dyDescent="0.3">
      <c r="A73" s="31">
        <f>+A72</f>
        <v>44089</v>
      </c>
      <c r="B73" s="32">
        <f t="shared" si="12"/>
        <v>38</v>
      </c>
      <c r="C73" s="62">
        <f t="shared" si="13"/>
        <v>44089</v>
      </c>
      <c r="D73" s="19">
        <v>2</v>
      </c>
      <c r="E73" s="20"/>
      <c r="F73" s="21"/>
      <c r="G73" s="22"/>
      <c r="H73" s="22"/>
      <c r="I73" s="21"/>
      <c r="J73" s="22"/>
      <c r="K73" s="22"/>
      <c r="L73" s="23">
        <f t="shared" si="14"/>
        <v>0</v>
      </c>
      <c r="M73" s="22">
        <f t="shared" si="15"/>
        <v>0</v>
      </c>
      <c r="N73" s="24">
        <v>5</v>
      </c>
      <c r="O73" s="25">
        <v>1</v>
      </c>
      <c r="P73" s="25">
        <f t="shared" si="16"/>
        <v>0</v>
      </c>
      <c r="Q73" s="26"/>
      <c r="R73" s="26"/>
      <c r="S73" s="26"/>
      <c r="T73" s="27"/>
      <c r="U73" s="28">
        <f t="shared" si="17"/>
        <v>0</v>
      </c>
      <c r="V73" s="22"/>
      <c r="W73" s="22"/>
      <c r="X73" s="40"/>
      <c r="Y73" s="22"/>
      <c r="Z73" s="40"/>
      <c r="AA73" s="83"/>
      <c r="AB73" s="83"/>
      <c r="AC73" s="29" t="str">
        <f t="shared" si="20"/>
        <v/>
      </c>
      <c r="AD73" s="30" t="str">
        <f t="shared" si="21"/>
        <v/>
      </c>
      <c r="AE73" s="30" t="str">
        <f t="shared" si="22"/>
        <v/>
      </c>
      <c r="AF73" s="2"/>
    </row>
    <row r="74" spans="1:33" ht="20.25" customHeight="1" x14ac:dyDescent="0.3">
      <c r="A74" s="31">
        <f>+A73</f>
        <v>44089</v>
      </c>
      <c r="B74" s="32">
        <f t="shared" si="12"/>
        <v>38</v>
      </c>
      <c r="C74" s="62">
        <f t="shared" si="13"/>
        <v>44089</v>
      </c>
      <c r="D74" s="19">
        <v>3</v>
      </c>
      <c r="E74" s="20"/>
      <c r="F74" s="21"/>
      <c r="G74" s="22"/>
      <c r="H74" s="22"/>
      <c r="I74" s="21"/>
      <c r="J74" s="22"/>
      <c r="K74" s="22"/>
      <c r="L74" s="23">
        <f t="shared" si="14"/>
        <v>0</v>
      </c>
      <c r="M74" s="22">
        <f t="shared" si="15"/>
        <v>0</v>
      </c>
      <c r="N74" s="24">
        <v>5</v>
      </c>
      <c r="O74" s="25">
        <v>1</v>
      </c>
      <c r="P74" s="25">
        <f t="shared" si="16"/>
        <v>0</v>
      </c>
      <c r="Q74" s="26"/>
      <c r="R74" s="26"/>
      <c r="S74" s="26"/>
      <c r="T74" s="27"/>
      <c r="U74" s="28">
        <f t="shared" si="17"/>
        <v>0</v>
      </c>
      <c r="V74" s="22"/>
      <c r="W74" s="22"/>
      <c r="X74" s="40"/>
      <c r="Y74" s="22"/>
      <c r="Z74" s="40"/>
      <c r="AA74" s="40"/>
      <c r="AB74" s="40"/>
      <c r="AC74" s="29" t="str">
        <f t="shared" si="20"/>
        <v/>
      </c>
      <c r="AD74" s="30" t="str">
        <f t="shared" si="21"/>
        <v/>
      </c>
      <c r="AE74" s="30" t="str">
        <f t="shared" si="22"/>
        <v/>
      </c>
      <c r="AF74" s="2"/>
    </row>
    <row r="75" spans="1:33" ht="20.25" customHeight="1" x14ac:dyDescent="0.3">
      <c r="A75" s="31">
        <f>+A74</f>
        <v>44089</v>
      </c>
      <c r="B75" s="32">
        <f t="shared" si="12"/>
        <v>38</v>
      </c>
      <c r="C75" s="62">
        <f t="shared" si="13"/>
        <v>44089</v>
      </c>
      <c r="D75" s="19">
        <v>4</v>
      </c>
      <c r="E75" s="20"/>
      <c r="F75" s="21"/>
      <c r="G75" s="22"/>
      <c r="H75" s="22"/>
      <c r="I75" s="21"/>
      <c r="J75" s="22"/>
      <c r="K75" s="22"/>
      <c r="L75" s="23">
        <f t="shared" si="14"/>
        <v>0</v>
      </c>
      <c r="M75" s="22">
        <f t="shared" si="15"/>
        <v>0</v>
      </c>
      <c r="N75" s="24">
        <v>5</v>
      </c>
      <c r="O75" s="25">
        <v>1</v>
      </c>
      <c r="P75" s="25">
        <f t="shared" si="16"/>
        <v>0</v>
      </c>
      <c r="Q75" s="26"/>
      <c r="R75" s="26"/>
      <c r="S75" s="26"/>
      <c r="T75" s="27"/>
      <c r="U75" s="28">
        <f t="shared" si="17"/>
        <v>0</v>
      </c>
      <c r="V75" s="22"/>
      <c r="W75" s="22"/>
      <c r="X75" s="40"/>
      <c r="Y75" s="22"/>
      <c r="Z75" s="40"/>
      <c r="AA75" s="40"/>
      <c r="AB75" s="40"/>
      <c r="AC75" s="29" t="str">
        <f t="shared" si="20"/>
        <v/>
      </c>
      <c r="AD75" s="30" t="str">
        <f t="shared" si="21"/>
        <v/>
      </c>
      <c r="AE75" s="30" t="str">
        <f t="shared" si="22"/>
        <v/>
      </c>
      <c r="AF75" s="6">
        <f>+SUM(AD72:AD76)</f>
        <v>0</v>
      </c>
      <c r="AG75" s="6">
        <f>+SUM(AE71:AE76)</f>
        <v>0</v>
      </c>
    </row>
    <row r="76" spans="1:33" ht="20.25" customHeight="1" x14ac:dyDescent="0.3">
      <c r="A76" s="33">
        <f>+A75</f>
        <v>44089</v>
      </c>
      <c r="B76" s="34">
        <f t="shared" si="12"/>
        <v>38</v>
      </c>
      <c r="C76" s="63">
        <f t="shared" si="13"/>
        <v>44089</v>
      </c>
      <c r="D76" s="19">
        <v>5</v>
      </c>
      <c r="E76" s="20"/>
      <c r="F76" s="21"/>
      <c r="G76" s="22"/>
      <c r="H76" s="22"/>
      <c r="I76" s="21"/>
      <c r="J76" s="22"/>
      <c r="K76" s="22"/>
      <c r="L76" s="23">
        <f t="shared" si="14"/>
        <v>0</v>
      </c>
      <c r="M76" s="22">
        <f t="shared" si="15"/>
        <v>0</v>
      </c>
      <c r="N76" s="24">
        <v>5</v>
      </c>
      <c r="O76" s="25">
        <v>1</v>
      </c>
      <c r="P76" s="25">
        <f t="shared" si="16"/>
        <v>0</v>
      </c>
      <c r="Q76" s="26"/>
      <c r="R76" s="26"/>
      <c r="S76" s="26"/>
      <c r="T76" s="27"/>
      <c r="U76" s="28">
        <f t="shared" si="17"/>
        <v>0</v>
      </c>
      <c r="V76" s="22"/>
      <c r="W76" s="22"/>
      <c r="X76" s="40"/>
      <c r="Y76" s="22"/>
      <c r="Z76" s="40"/>
      <c r="AA76" s="40"/>
      <c r="AB76" s="40"/>
      <c r="AC76" s="29" t="str">
        <f t="shared" si="20"/>
        <v/>
      </c>
      <c r="AD76" s="30" t="str">
        <f t="shared" si="21"/>
        <v/>
      </c>
      <c r="AE76" s="30" t="str">
        <f t="shared" si="22"/>
        <v/>
      </c>
      <c r="AF76" s="7">
        <f>+COUNT(AD72:AD76)</f>
        <v>0</v>
      </c>
      <c r="AG76" s="7">
        <f>+COUNT(AE71:AE76)</f>
        <v>0</v>
      </c>
    </row>
    <row r="77" spans="1:33" ht="20.25" customHeight="1" x14ac:dyDescent="0.3">
      <c r="A77" s="17">
        <f>+A72+1</f>
        <v>44090</v>
      </c>
      <c r="B77" s="18">
        <f>WEEKNUM(A77,2)</f>
        <v>38</v>
      </c>
      <c r="C77" s="61">
        <f t="shared" si="13"/>
        <v>44090</v>
      </c>
      <c r="D77" s="19">
        <v>1</v>
      </c>
      <c r="E77" s="20"/>
      <c r="F77" s="21"/>
      <c r="G77" s="22"/>
      <c r="H77" s="22"/>
      <c r="I77" s="21"/>
      <c r="J77" s="22"/>
      <c r="K77" s="22"/>
      <c r="L77" s="23">
        <f t="shared" si="14"/>
        <v>0</v>
      </c>
      <c r="M77" s="22">
        <f t="shared" si="15"/>
        <v>0</v>
      </c>
      <c r="N77" s="24">
        <v>5</v>
      </c>
      <c r="O77" s="25">
        <v>1</v>
      </c>
      <c r="P77" s="25">
        <f t="shared" si="16"/>
        <v>0</v>
      </c>
      <c r="Q77" s="26"/>
      <c r="R77" s="26"/>
      <c r="S77" s="26"/>
      <c r="T77" s="27"/>
      <c r="U77" s="28">
        <f t="shared" si="17"/>
        <v>0</v>
      </c>
      <c r="V77" s="22">
        <f>SUM(U77:U81)</f>
        <v>0</v>
      </c>
      <c r="W77" s="84">
        <f>+Tabla1[[#This Row],[RESULTADO DEL DÍA]]+W72</f>
        <v>1269.5000000000005</v>
      </c>
      <c r="X77" s="22">
        <f>+X72+Tabla1[[#This Row],[Objetivo presupuestado]]</f>
        <v>1299</v>
      </c>
      <c r="Y77" s="22" t="str">
        <f t="shared" ref="Y77" si="45">IF(AF77=0,"0",10)</f>
        <v>0</v>
      </c>
      <c r="Z77" s="22" t="str">
        <f t="shared" ref="Z77" si="46">IF(AF77=0,"0",50)</f>
        <v>0</v>
      </c>
      <c r="AA77" s="27">
        <f>+IFERROR(AF80/(AG80*-1),AF80)</f>
        <v>0</v>
      </c>
      <c r="AB77" s="85" t="str">
        <f>+IFERROR(AF81/AF77,"0")</f>
        <v>0</v>
      </c>
      <c r="AC77" s="29" t="str">
        <f t="shared" si="20"/>
        <v/>
      </c>
      <c r="AD77" s="30" t="str">
        <f t="shared" si="21"/>
        <v/>
      </c>
      <c r="AE77" s="30" t="str">
        <f t="shared" si="22"/>
        <v/>
      </c>
      <c r="AF77" s="9">
        <f>+COUNTIF(AC77:AC81,"1")</f>
        <v>0</v>
      </c>
    </row>
    <row r="78" spans="1:33" ht="20.25" customHeight="1" x14ac:dyDescent="0.3">
      <c r="A78" s="31">
        <f>+A77</f>
        <v>44090</v>
      </c>
      <c r="B78" s="32">
        <f t="shared" si="12"/>
        <v>38</v>
      </c>
      <c r="C78" s="62">
        <f t="shared" si="13"/>
        <v>44090</v>
      </c>
      <c r="D78" s="19">
        <v>2</v>
      </c>
      <c r="E78" s="20"/>
      <c r="F78" s="21"/>
      <c r="G78" s="22"/>
      <c r="H78" s="22"/>
      <c r="I78" s="21"/>
      <c r="J78" s="22"/>
      <c r="K78" s="22"/>
      <c r="L78" s="23">
        <f t="shared" si="14"/>
        <v>0</v>
      </c>
      <c r="M78" s="22">
        <f t="shared" si="15"/>
        <v>0</v>
      </c>
      <c r="N78" s="24">
        <v>5</v>
      </c>
      <c r="O78" s="25">
        <v>1</v>
      </c>
      <c r="P78" s="25">
        <f t="shared" si="16"/>
        <v>0</v>
      </c>
      <c r="Q78" s="26"/>
      <c r="R78" s="26"/>
      <c r="S78" s="26"/>
      <c r="T78" s="27"/>
      <c r="U78" s="28">
        <f t="shared" si="17"/>
        <v>0</v>
      </c>
      <c r="V78" s="22"/>
      <c r="W78" s="22"/>
      <c r="X78" s="40"/>
      <c r="Y78" s="22"/>
      <c r="Z78" s="40"/>
      <c r="AA78" s="83"/>
      <c r="AB78" s="83"/>
      <c r="AC78" s="29" t="str">
        <f t="shared" si="20"/>
        <v/>
      </c>
      <c r="AD78" s="30" t="str">
        <f t="shared" si="21"/>
        <v/>
      </c>
      <c r="AE78" s="30" t="str">
        <f t="shared" si="22"/>
        <v/>
      </c>
      <c r="AF78" s="2"/>
    </row>
    <row r="79" spans="1:33" ht="20.25" customHeight="1" x14ac:dyDescent="0.3">
      <c r="A79" s="31">
        <f>+A78</f>
        <v>44090</v>
      </c>
      <c r="B79" s="32">
        <f t="shared" ref="B79:B81" si="47">+B78</f>
        <v>38</v>
      </c>
      <c r="C79" s="62">
        <f t="shared" si="13"/>
        <v>44090</v>
      </c>
      <c r="D79" s="19">
        <v>3</v>
      </c>
      <c r="E79" s="20"/>
      <c r="F79" s="21"/>
      <c r="G79" s="22"/>
      <c r="H79" s="22"/>
      <c r="I79" s="21"/>
      <c r="J79" s="22"/>
      <c r="K79" s="22"/>
      <c r="L79" s="23">
        <f t="shared" si="14"/>
        <v>0</v>
      </c>
      <c r="M79" s="22">
        <f t="shared" si="15"/>
        <v>0</v>
      </c>
      <c r="N79" s="24">
        <v>5</v>
      </c>
      <c r="O79" s="25">
        <v>1</v>
      </c>
      <c r="P79" s="25">
        <f t="shared" si="16"/>
        <v>0</v>
      </c>
      <c r="Q79" s="26"/>
      <c r="R79" s="26"/>
      <c r="S79" s="26"/>
      <c r="T79" s="27"/>
      <c r="U79" s="28">
        <f t="shared" si="17"/>
        <v>0</v>
      </c>
      <c r="V79" s="22"/>
      <c r="W79" s="22"/>
      <c r="X79" s="40"/>
      <c r="Y79" s="22"/>
      <c r="Z79" s="40"/>
      <c r="AA79" s="40"/>
      <c r="AB79" s="40"/>
      <c r="AC79" s="29" t="str">
        <f t="shared" si="20"/>
        <v/>
      </c>
      <c r="AD79" s="30" t="str">
        <f t="shared" si="21"/>
        <v/>
      </c>
      <c r="AE79" s="30" t="str">
        <f t="shared" si="22"/>
        <v/>
      </c>
      <c r="AF79" s="2"/>
    </row>
    <row r="80" spans="1:33" ht="20.25" customHeight="1" x14ac:dyDescent="0.3">
      <c r="A80" s="31">
        <f>+A79</f>
        <v>44090</v>
      </c>
      <c r="B80" s="32">
        <f t="shared" si="47"/>
        <v>38</v>
      </c>
      <c r="C80" s="62">
        <f t="shared" si="13"/>
        <v>44090</v>
      </c>
      <c r="D80" s="19">
        <v>4</v>
      </c>
      <c r="E80" s="20"/>
      <c r="F80" s="21"/>
      <c r="G80" s="22"/>
      <c r="H80" s="22"/>
      <c r="I80" s="21"/>
      <c r="J80" s="22"/>
      <c r="K80" s="22"/>
      <c r="L80" s="23">
        <f t="shared" si="14"/>
        <v>0</v>
      </c>
      <c r="M80" s="22">
        <f t="shared" si="15"/>
        <v>0</v>
      </c>
      <c r="N80" s="24">
        <v>5</v>
      </c>
      <c r="O80" s="25">
        <v>1</v>
      </c>
      <c r="P80" s="25">
        <f t="shared" si="16"/>
        <v>0</v>
      </c>
      <c r="Q80" s="26"/>
      <c r="R80" s="26"/>
      <c r="S80" s="26"/>
      <c r="T80" s="27"/>
      <c r="U80" s="28">
        <f t="shared" si="17"/>
        <v>0</v>
      </c>
      <c r="V80" s="22"/>
      <c r="W80" s="22"/>
      <c r="X80" s="40"/>
      <c r="Y80" s="22"/>
      <c r="Z80" s="40"/>
      <c r="AA80" s="40"/>
      <c r="AB80" s="40"/>
      <c r="AC80" s="29" t="str">
        <f t="shared" si="20"/>
        <v/>
      </c>
      <c r="AD80" s="30" t="str">
        <f t="shared" si="21"/>
        <v/>
      </c>
      <c r="AE80" s="30" t="str">
        <f t="shared" si="22"/>
        <v/>
      </c>
      <c r="AF80" s="6">
        <f>+SUM(AD77:AD81)</f>
        <v>0</v>
      </c>
      <c r="AG80" s="6">
        <f>+SUM(AE76:AE81)</f>
        <v>0</v>
      </c>
    </row>
    <row r="81" spans="1:33" ht="20.25" customHeight="1" x14ac:dyDescent="0.3">
      <c r="A81" s="33">
        <f>+A80</f>
        <v>44090</v>
      </c>
      <c r="B81" s="34">
        <f t="shared" si="47"/>
        <v>38</v>
      </c>
      <c r="C81" s="63">
        <f t="shared" ref="C81:C144" si="48">+A81</f>
        <v>44090</v>
      </c>
      <c r="D81" s="19">
        <v>5</v>
      </c>
      <c r="E81" s="20"/>
      <c r="F81" s="21"/>
      <c r="G81" s="22"/>
      <c r="H81" s="22"/>
      <c r="I81" s="21"/>
      <c r="J81" s="22"/>
      <c r="K81" s="22"/>
      <c r="L81" s="23">
        <f t="shared" ref="L81:L144" si="49">+I81-F81</f>
        <v>0</v>
      </c>
      <c r="M81" s="22">
        <f t="shared" ref="M81:M144" si="50">+IF(E81="buy",J81-G81,G81-J81)</f>
        <v>0</v>
      </c>
      <c r="N81" s="24">
        <v>5</v>
      </c>
      <c r="O81" s="25">
        <v>1</v>
      </c>
      <c r="P81" s="25">
        <f t="shared" ref="P81:P144" si="51">+IF(J81&gt;0,O81*1,0)</f>
        <v>0</v>
      </c>
      <c r="Q81" s="26"/>
      <c r="R81" s="26"/>
      <c r="S81" s="26"/>
      <c r="T81" s="27"/>
      <c r="U81" s="28">
        <f t="shared" ref="U81:U144" si="52">+O81*N81*M81-P81</f>
        <v>0</v>
      </c>
      <c r="V81" s="22"/>
      <c r="W81" s="22"/>
      <c r="X81" s="40"/>
      <c r="Y81" s="22"/>
      <c r="Z81" s="40"/>
      <c r="AA81" s="40"/>
      <c r="AB81" s="40"/>
      <c r="AC81" s="29" t="str">
        <f t="shared" ref="AC81:AC144" si="53">+IF(G81&gt;0,1,"")</f>
        <v/>
      </c>
      <c r="AD81" s="30" t="str">
        <f t="shared" ref="AD81:AD144" si="54">+IF(M81&gt;0,M81,"")</f>
        <v/>
      </c>
      <c r="AE81" s="30" t="str">
        <f t="shared" ref="AE81:AE144" si="55">+IF(M81&lt;0,M81,"")</f>
        <v/>
      </c>
      <c r="AF81" s="7">
        <f>+COUNT(AD77:AD81)</f>
        <v>0</v>
      </c>
      <c r="AG81" s="7">
        <f>+COUNT(AE76:AE81)</f>
        <v>0</v>
      </c>
    </row>
    <row r="82" spans="1:33" ht="20.25" customHeight="1" x14ac:dyDescent="0.3">
      <c r="A82" s="17">
        <f>+A77+1</f>
        <v>44091</v>
      </c>
      <c r="B82" s="18">
        <f>WEEKNUM(A82,2)</f>
        <v>38</v>
      </c>
      <c r="C82" s="61">
        <f t="shared" si="48"/>
        <v>44091</v>
      </c>
      <c r="D82" s="19">
        <v>1</v>
      </c>
      <c r="E82" s="20"/>
      <c r="F82" s="21"/>
      <c r="G82" s="22"/>
      <c r="H82" s="22"/>
      <c r="I82" s="21"/>
      <c r="J82" s="22"/>
      <c r="K82" s="22"/>
      <c r="L82" s="23">
        <f t="shared" si="49"/>
        <v>0</v>
      </c>
      <c r="M82" s="22">
        <f t="shared" si="50"/>
        <v>0</v>
      </c>
      <c r="N82" s="24">
        <v>5</v>
      </c>
      <c r="O82" s="25">
        <v>1</v>
      </c>
      <c r="P82" s="25">
        <f t="shared" si="51"/>
        <v>0</v>
      </c>
      <c r="Q82" s="26"/>
      <c r="R82" s="26"/>
      <c r="S82" s="26"/>
      <c r="T82" s="27"/>
      <c r="U82" s="28">
        <f t="shared" si="52"/>
        <v>0</v>
      </c>
      <c r="V82" s="22">
        <f>SUM(U82:U86)</f>
        <v>0</v>
      </c>
      <c r="W82" s="84">
        <f>+Tabla1[[#This Row],[RESULTADO DEL DÍA]]+W77</f>
        <v>1269.5000000000005</v>
      </c>
      <c r="X82" s="22">
        <f>+X77+Tabla1[[#This Row],[Objetivo presupuestado]]</f>
        <v>1299</v>
      </c>
      <c r="Y82" s="22" t="str">
        <f t="shared" ref="Y82" si="56">IF(AF82=0,"0",10)</f>
        <v>0</v>
      </c>
      <c r="Z82" s="22" t="str">
        <f t="shared" ref="Z82" si="57">IF(AF82=0,"0",50)</f>
        <v>0</v>
      </c>
      <c r="AA82" s="27">
        <f>+IFERROR(AF85/(AG85*-1),AF85)</f>
        <v>0</v>
      </c>
      <c r="AB82" s="85" t="str">
        <f>+IFERROR(AF86/AF82,"0")</f>
        <v>0</v>
      </c>
      <c r="AC82" s="29" t="str">
        <f t="shared" si="53"/>
        <v/>
      </c>
      <c r="AD82" s="30" t="str">
        <f t="shared" si="54"/>
        <v/>
      </c>
      <c r="AE82" s="30" t="str">
        <f t="shared" si="55"/>
        <v/>
      </c>
      <c r="AF82" s="9">
        <f>+COUNTIF(AC82:AC86,"1")</f>
        <v>0</v>
      </c>
    </row>
    <row r="83" spans="1:33" ht="20.25" customHeight="1" x14ac:dyDescent="0.3">
      <c r="A83" s="31">
        <f>+A82</f>
        <v>44091</v>
      </c>
      <c r="B83" s="32">
        <f t="shared" ref="B83:B86" si="58">+B82</f>
        <v>38</v>
      </c>
      <c r="C83" s="62">
        <f t="shared" si="48"/>
        <v>44091</v>
      </c>
      <c r="D83" s="19">
        <v>2</v>
      </c>
      <c r="E83" s="20"/>
      <c r="F83" s="21"/>
      <c r="G83" s="22"/>
      <c r="H83" s="22"/>
      <c r="I83" s="21"/>
      <c r="J83" s="22"/>
      <c r="K83" s="22"/>
      <c r="L83" s="23">
        <f t="shared" si="49"/>
        <v>0</v>
      </c>
      <c r="M83" s="22">
        <f t="shared" si="50"/>
        <v>0</v>
      </c>
      <c r="N83" s="24">
        <v>5</v>
      </c>
      <c r="O83" s="25">
        <v>1</v>
      </c>
      <c r="P83" s="25">
        <f t="shared" si="51"/>
        <v>0</v>
      </c>
      <c r="Q83" s="26"/>
      <c r="R83" s="26"/>
      <c r="S83" s="26"/>
      <c r="T83" s="27"/>
      <c r="U83" s="28">
        <f t="shared" si="52"/>
        <v>0</v>
      </c>
      <c r="V83" s="22"/>
      <c r="W83" s="22"/>
      <c r="X83" s="40"/>
      <c r="Y83" s="22"/>
      <c r="Z83" s="40"/>
      <c r="AA83" s="83"/>
      <c r="AB83" s="83"/>
      <c r="AC83" s="29" t="str">
        <f t="shared" si="53"/>
        <v/>
      </c>
      <c r="AD83" s="30" t="str">
        <f t="shared" si="54"/>
        <v/>
      </c>
      <c r="AE83" s="30" t="str">
        <f t="shared" si="55"/>
        <v/>
      </c>
      <c r="AF83" s="2"/>
    </row>
    <row r="84" spans="1:33" ht="20.25" customHeight="1" x14ac:dyDescent="0.3">
      <c r="A84" s="31">
        <f>+A83</f>
        <v>44091</v>
      </c>
      <c r="B84" s="32">
        <f t="shared" si="58"/>
        <v>38</v>
      </c>
      <c r="C84" s="62">
        <f t="shared" si="48"/>
        <v>44091</v>
      </c>
      <c r="D84" s="19">
        <v>3</v>
      </c>
      <c r="E84" s="20"/>
      <c r="F84" s="21"/>
      <c r="G84" s="22"/>
      <c r="H84" s="22"/>
      <c r="I84" s="21"/>
      <c r="J84" s="22"/>
      <c r="K84" s="22"/>
      <c r="L84" s="23">
        <f t="shared" si="49"/>
        <v>0</v>
      </c>
      <c r="M84" s="22">
        <f t="shared" si="50"/>
        <v>0</v>
      </c>
      <c r="N84" s="24">
        <v>5</v>
      </c>
      <c r="O84" s="25">
        <v>1</v>
      </c>
      <c r="P84" s="25">
        <f t="shared" si="51"/>
        <v>0</v>
      </c>
      <c r="Q84" s="26"/>
      <c r="R84" s="26"/>
      <c r="S84" s="26"/>
      <c r="T84" s="27"/>
      <c r="U84" s="28">
        <f t="shared" si="52"/>
        <v>0</v>
      </c>
      <c r="V84" s="22"/>
      <c r="W84" s="22"/>
      <c r="X84" s="40"/>
      <c r="Y84" s="22"/>
      <c r="Z84" s="40"/>
      <c r="AA84" s="40"/>
      <c r="AB84" s="40"/>
      <c r="AC84" s="29" t="str">
        <f t="shared" si="53"/>
        <v/>
      </c>
      <c r="AD84" s="30" t="str">
        <f t="shared" si="54"/>
        <v/>
      </c>
      <c r="AE84" s="30" t="str">
        <f t="shared" si="55"/>
        <v/>
      </c>
      <c r="AF84" s="2"/>
    </row>
    <row r="85" spans="1:33" ht="20.25" customHeight="1" x14ac:dyDescent="0.3">
      <c r="A85" s="31">
        <f>+A84</f>
        <v>44091</v>
      </c>
      <c r="B85" s="32">
        <f t="shared" si="58"/>
        <v>38</v>
      </c>
      <c r="C85" s="62">
        <f t="shared" si="48"/>
        <v>44091</v>
      </c>
      <c r="D85" s="19">
        <v>4</v>
      </c>
      <c r="E85" s="20"/>
      <c r="F85" s="21"/>
      <c r="G85" s="22"/>
      <c r="H85" s="22"/>
      <c r="I85" s="21"/>
      <c r="J85" s="22"/>
      <c r="K85" s="22"/>
      <c r="L85" s="23">
        <f t="shared" si="49"/>
        <v>0</v>
      </c>
      <c r="M85" s="22">
        <f t="shared" si="50"/>
        <v>0</v>
      </c>
      <c r="N85" s="24">
        <v>5</v>
      </c>
      <c r="O85" s="25">
        <v>1</v>
      </c>
      <c r="P85" s="25">
        <f t="shared" si="51"/>
        <v>0</v>
      </c>
      <c r="Q85" s="26"/>
      <c r="R85" s="26"/>
      <c r="S85" s="26"/>
      <c r="T85" s="27"/>
      <c r="U85" s="28">
        <f t="shared" si="52"/>
        <v>0</v>
      </c>
      <c r="V85" s="22"/>
      <c r="W85" s="22"/>
      <c r="X85" s="40"/>
      <c r="Y85" s="22"/>
      <c r="Z85" s="40"/>
      <c r="AA85" s="40"/>
      <c r="AB85" s="40"/>
      <c r="AC85" s="29" t="str">
        <f t="shared" si="53"/>
        <v/>
      </c>
      <c r="AD85" s="30" t="str">
        <f t="shared" si="54"/>
        <v/>
      </c>
      <c r="AE85" s="30" t="str">
        <f t="shared" si="55"/>
        <v/>
      </c>
      <c r="AF85" s="6">
        <f>+SUM(AD82:AD86)</f>
        <v>0</v>
      </c>
      <c r="AG85" s="6">
        <f>+SUM(AE81:AE86)</f>
        <v>0</v>
      </c>
    </row>
    <row r="86" spans="1:33" ht="20.25" customHeight="1" x14ac:dyDescent="0.3">
      <c r="A86" s="33">
        <f>+A85</f>
        <v>44091</v>
      </c>
      <c r="B86" s="34">
        <f t="shared" si="58"/>
        <v>38</v>
      </c>
      <c r="C86" s="63">
        <f t="shared" si="48"/>
        <v>44091</v>
      </c>
      <c r="D86" s="19">
        <v>5</v>
      </c>
      <c r="E86" s="20"/>
      <c r="F86" s="21"/>
      <c r="G86" s="22"/>
      <c r="H86" s="22"/>
      <c r="I86" s="21"/>
      <c r="J86" s="22"/>
      <c r="K86" s="22"/>
      <c r="L86" s="23">
        <f t="shared" si="49"/>
        <v>0</v>
      </c>
      <c r="M86" s="22">
        <f t="shared" si="50"/>
        <v>0</v>
      </c>
      <c r="N86" s="24">
        <v>5</v>
      </c>
      <c r="O86" s="25">
        <v>1</v>
      </c>
      <c r="P86" s="25">
        <f t="shared" si="51"/>
        <v>0</v>
      </c>
      <c r="Q86" s="26"/>
      <c r="R86" s="26"/>
      <c r="S86" s="26"/>
      <c r="T86" s="27"/>
      <c r="U86" s="28">
        <f t="shared" si="52"/>
        <v>0</v>
      </c>
      <c r="V86" s="22"/>
      <c r="W86" s="22"/>
      <c r="X86" s="40"/>
      <c r="Y86" s="22"/>
      <c r="Z86" s="40"/>
      <c r="AA86" s="40"/>
      <c r="AB86" s="40"/>
      <c r="AC86" s="29" t="str">
        <f t="shared" si="53"/>
        <v/>
      </c>
      <c r="AD86" s="30" t="str">
        <f t="shared" si="54"/>
        <v/>
      </c>
      <c r="AE86" s="30" t="str">
        <f t="shared" si="55"/>
        <v/>
      </c>
      <c r="AF86" s="7">
        <f>+COUNT(AD82:AD86)</f>
        <v>0</v>
      </c>
      <c r="AG86" s="7">
        <f>+COUNT(AE81:AE86)</f>
        <v>0</v>
      </c>
    </row>
    <row r="87" spans="1:33" ht="20.25" customHeight="1" x14ac:dyDescent="0.3">
      <c r="A87" s="17">
        <f>+A82+1</f>
        <v>44092</v>
      </c>
      <c r="B87" s="18">
        <f>WEEKNUM(A87,2)</f>
        <v>38</v>
      </c>
      <c r="C87" s="61">
        <f t="shared" si="48"/>
        <v>44092</v>
      </c>
      <c r="D87" s="19">
        <v>1</v>
      </c>
      <c r="E87" s="20"/>
      <c r="F87" s="21"/>
      <c r="G87" s="22"/>
      <c r="H87" s="22"/>
      <c r="I87" s="21"/>
      <c r="J87" s="22"/>
      <c r="K87" s="22"/>
      <c r="L87" s="23">
        <f t="shared" si="49"/>
        <v>0</v>
      </c>
      <c r="M87" s="22">
        <f t="shared" si="50"/>
        <v>0</v>
      </c>
      <c r="N87" s="24">
        <v>5</v>
      </c>
      <c r="O87" s="25">
        <v>1</v>
      </c>
      <c r="P87" s="25">
        <f t="shared" si="51"/>
        <v>0</v>
      </c>
      <c r="Q87" s="26"/>
      <c r="R87" s="26"/>
      <c r="S87" s="26"/>
      <c r="T87" s="27"/>
      <c r="U87" s="28">
        <f t="shared" si="52"/>
        <v>0</v>
      </c>
      <c r="V87" s="22">
        <f>SUM(U87:U91)</f>
        <v>0</v>
      </c>
      <c r="W87" s="84">
        <f>+Tabla1[[#This Row],[RESULTADO DEL DÍA]]+W82</f>
        <v>1269.5000000000005</v>
      </c>
      <c r="X87" s="22">
        <f>+X82+Tabla1[[#This Row],[Objetivo presupuestado]]</f>
        <v>1299</v>
      </c>
      <c r="Y87" s="22" t="str">
        <f t="shared" ref="Y87" si="59">IF(AF87=0,"0",10)</f>
        <v>0</v>
      </c>
      <c r="Z87" s="22" t="str">
        <f t="shared" ref="Z87" si="60">IF(AF87=0,"0",50)</f>
        <v>0</v>
      </c>
      <c r="AA87" s="27">
        <f>+IFERROR(AF90/(AG90*-1),AF90)</f>
        <v>0</v>
      </c>
      <c r="AB87" s="85" t="str">
        <f>+IFERROR(AF91/AF87,"0")</f>
        <v>0</v>
      </c>
      <c r="AC87" s="29" t="str">
        <f t="shared" si="53"/>
        <v/>
      </c>
      <c r="AD87" s="30" t="str">
        <f t="shared" si="54"/>
        <v/>
      </c>
      <c r="AE87" s="30" t="str">
        <f t="shared" si="55"/>
        <v/>
      </c>
      <c r="AF87" s="9">
        <f>+COUNTIF(AC87:AC91,"1")</f>
        <v>0</v>
      </c>
    </row>
    <row r="88" spans="1:33" ht="20.25" customHeight="1" x14ac:dyDescent="0.3">
      <c r="A88" s="31">
        <f>+A87</f>
        <v>44092</v>
      </c>
      <c r="B88" s="32">
        <f t="shared" ref="B88:B91" si="61">+B87</f>
        <v>38</v>
      </c>
      <c r="C88" s="62">
        <f t="shared" si="48"/>
        <v>44092</v>
      </c>
      <c r="D88" s="19">
        <v>2</v>
      </c>
      <c r="E88" s="20"/>
      <c r="F88" s="21"/>
      <c r="G88" s="22"/>
      <c r="H88" s="22"/>
      <c r="I88" s="21"/>
      <c r="J88" s="22"/>
      <c r="K88" s="22"/>
      <c r="L88" s="23">
        <f t="shared" si="49"/>
        <v>0</v>
      </c>
      <c r="M88" s="22">
        <f t="shared" si="50"/>
        <v>0</v>
      </c>
      <c r="N88" s="24">
        <v>5</v>
      </c>
      <c r="O88" s="25">
        <v>1</v>
      </c>
      <c r="P88" s="25">
        <f t="shared" si="51"/>
        <v>0</v>
      </c>
      <c r="Q88" s="26"/>
      <c r="R88" s="26"/>
      <c r="S88" s="26"/>
      <c r="T88" s="27"/>
      <c r="U88" s="28">
        <f t="shared" si="52"/>
        <v>0</v>
      </c>
      <c r="V88" s="22"/>
      <c r="W88" s="22"/>
      <c r="X88" s="40"/>
      <c r="Y88" s="22"/>
      <c r="Z88" s="40"/>
      <c r="AA88" s="83"/>
      <c r="AB88" s="83"/>
      <c r="AC88" s="29" t="str">
        <f t="shared" si="53"/>
        <v/>
      </c>
      <c r="AD88" s="30" t="str">
        <f t="shared" si="54"/>
        <v/>
      </c>
      <c r="AE88" s="30" t="str">
        <f t="shared" si="55"/>
        <v/>
      </c>
      <c r="AF88" s="2"/>
    </row>
    <row r="89" spans="1:33" ht="20.25" customHeight="1" x14ac:dyDescent="0.3">
      <c r="A89" s="31">
        <f>+A88</f>
        <v>44092</v>
      </c>
      <c r="B89" s="32">
        <f t="shared" si="61"/>
        <v>38</v>
      </c>
      <c r="C89" s="62">
        <f t="shared" si="48"/>
        <v>44092</v>
      </c>
      <c r="D89" s="19">
        <v>3</v>
      </c>
      <c r="E89" s="20"/>
      <c r="F89" s="21"/>
      <c r="G89" s="22"/>
      <c r="H89" s="22"/>
      <c r="I89" s="21"/>
      <c r="J89" s="22"/>
      <c r="K89" s="22"/>
      <c r="L89" s="23">
        <f t="shared" si="49"/>
        <v>0</v>
      </c>
      <c r="M89" s="22">
        <f t="shared" si="50"/>
        <v>0</v>
      </c>
      <c r="N89" s="24">
        <v>5</v>
      </c>
      <c r="O89" s="25">
        <v>1</v>
      </c>
      <c r="P89" s="25">
        <f t="shared" si="51"/>
        <v>0</v>
      </c>
      <c r="Q89" s="26"/>
      <c r="R89" s="26"/>
      <c r="S89" s="26"/>
      <c r="T89" s="27"/>
      <c r="U89" s="28">
        <f t="shared" si="52"/>
        <v>0</v>
      </c>
      <c r="V89" s="22"/>
      <c r="W89" s="22"/>
      <c r="X89" s="40"/>
      <c r="Y89" s="22"/>
      <c r="Z89" s="40"/>
      <c r="AA89" s="40"/>
      <c r="AB89" s="40"/>
      <c r="AC89" s="29" t="str">
        <f t="shared" si="53"/>
        <v/>
      </c>
      <c r="AD89" s="30" t="str">
        <f t="shared" si="54"/>
        <v/>
      </c>
      <c r="AE89" s="30" t="str">
        <f t="shared" si="55"/>
        <v/>
      </c>
      <c r="AF89" s="2"/>
    </row>
    <row r="90" spans="1:33" ht="20.25" customHeight="1" x14ac:dyDescent="0.3">
      <c r="A90" s="31">
        <f>+A89</f>
        <v>44092</v>
      </c>
      <c r="B90" s="32">
        <f t="shared" si="61"/>
        <v>38</v>
      </c>
      <c r="C90" s="62">
        <f t="shared" si="48"/>
        <v>44092</v>
      </c>
      <c r="D90" s="19">
        <v>4</v>
      </c>
      <c r="E90" s="20"/>
      <c r="F90" s="21"/>
      <c r="G90" s="22"/>
      <c r="H90" s="22"/>
      <c r="I90" s="21"/>
      <c r="J90" s="22"/>
      <c r="K90" s="22"/>
      <c r="L90" s="23">
        <f t="shared" si="49"/>
        <v>0</v>
      </c>
      <c r="M90" s="22">
        <f t="shared" si="50"/>
        <v>0</v>
      </c>
      <c r="N90" s="24">
        <v>5</v>
      </c>
      <c r="O90" s="25">
        <v>1</v>
      </c>
      <c r="P90" s="25">
        <f t="shared" si="51"/>
        <v>0</v>
      </c>
      <c r="Q90" s="26"/>
      <c r="R90" s="26"/>
      <c r="S90" s="26"/>
      <c r="T90" s="27"/>
      <c r="U90" s="28">
        <f t="shared" si="52"/>
        <v>0</v>
      </c>
      <c r="V90" s="22"/>
      <c r="W90" s="22"/>
      <c r="X90" s="40"/>
      <c r="Y90" s="22"/>
      <c r="Z90" s="40"/>
      <c r="AA90" s="40"/>
      <c r="AB90" s="40"/>
      <c r="AC90" s="29" t="str">
        <f t="shared" si="53"/>
        <v/>
      </c>
      <c r="AD90" s="30" t="str">
        <f t="shared" si="54"/>
        <v/>
      </c>
      <c r="AE90" s="30" t="str">
        <f t="shared" si="55"/>
        <v/>
      </c>
      <c r="AF90" s="6">
        <f>+SUM(AD87:AD91)</f>
        <v>0</v>
      </c>
      <c r="AG90" s="6">
        <f>+SUM(AE86:AE91)</f>
        <v>0</v>
      </c>
    </row>
    <row r="91" spans="1:33" ht="20.25" customHeight="1" x14ac:dyDescent="0.3">
      <c r="A91" s="33">
        <f>+A90</f>
        <v>44092</v>
      </c>
      <c r="B91" s="34">
        <f t="shared" si="61"/>
        <v>38</v>
      </c>
      <c r="C91" s="63">
        <f t="shared" si="48"/>
        <v>44092</v>
      </c>
      <c r="D91" s="19">
        <v>5</v>
      </c>
      <c r="E91" s="20"/>
      <c r="F91" s="21"/>
      <c r="G91" s="22"/>
      <c r="H91" s="22"/>
      <c r="I91" s="21"/>
      <c r="J91" s="22"/>
      <c r="K91" s="22"/>
      <c r="L91" s="23">
        <f t="shared" si="49"/>
        <v>0</v>
      </c>
      <c r="M91" s="22">
        <f t="shared" si="50"/>
        <v>0</v>
      </c>
      <c r="N91" s="24">
        <v>5</v>
      </c>
      <c r="O91" s="25">
        <v>1</v>
      </c>
      <c r="P91" s="25">
        <f t="shared" si="51"/>
        <v>0</v>
      </c>
      <c r="Q91" s="26"/>
      <c r="R91" s="26"/>
      <c r="S91" s="26"/>
      <c r="T91" s="27"/>
      <c r="U91" s="28">
        <f t="shared" si="52"/>
        <v>0</v>
      </c>
      <c r="V91" s="22"/>
      <c r="W91" s="22"/>
      <c r="X91" s="40"/>
      <c r="Y91" s="22"/>
      <c r="Z91" s="40"/>
      <c r="AA91" s="40"/>
      <c r="AB91" s="40"/>
      <c r="AC91" s="29" t="str">
        <f t="shared" si="53"/>
        <v/>
      </c>
      <c r="AD91" s="30" t="str">
        <f t="shared" si="54"/>
        <v/>
      </c>
      <c r="AE91" s="30" t="str">
        <f t="shared" si="55"/>
        <v/>
      </c>
      <c r="AF91" s="7">
        <f>+COUNT(AD87:AD91)</f>
        <v>0</v>
      </c>
      <c r="AG91" s="7">
        <f>+COUNT(AE86:AE91)</f>
        <v>0</v>
      </c>
    </row>
    <row r="92" spans="1:33" ht="20.25" customHeight="1" x14ac:dyDescent="0.3">
      <c r="A92" s="17">
        <f>+A87+1</f>
        <v>44093</v>
      </c>
      <c r="B92" s="18">
        <f>WEEKNUM(A92,2)</f>
        <v>38</v>
      </c>
      <c r="C92" s="61">
        <f t="shared" si="48"/>
        <v>44093</v>
      </c>
      <c r="D92" s="19">
        <v>1</v>
      </c>
      <c r="E92" s="20"/>
      <c r="F92" s="21"/>
      <c r="G92" s="22"/>
      <c r="H92" s="22"/>
      <c r="I92" s="21"/>
      <c r="J92" s="22"/>
      <c r="K92" s="22"/>
      <c r="L92" s="23">
        <f t="shared" si="49"/>
        <v>0</v>
      </c>
      <c r="M92" s="22">
        <f t="shared" si="50"/>
        <v>0</v>
      </c>
      <c r="N92" s="24">
        <v>5</v>
      </c>
      <c r="O92" s="25">
        <v>1</v>
      </c>
      <c r="P92" s="25">
        <f t="shared" si="51"/>
        <v>0</v>
      </c>
      <c r="Q92" s="26"/>
      <c r="R92" s="26"/>
      <c r="S92" s="26"/>
      <c r="T92" s="27"/>
      <c r="U92" s="28">
        <f t="shared" si="52"/>
        <v>0</v>
      </c>
      <c r="V92" s="22">
        <f>SUM(U92:U96)</f>
        <v>0</v>
      </c>
      <c r="W92" s="84">
        <f>+Tabla1[[#This Row],[RESULTADO DEL DÍA]]+W87</f>
        <v>1269.5000000000005</v>
      </c>
      <c r="X92" s="22">
        <f>+X87+Tabla1[[#This Row],[Objetivo presupuestado]]</f>
        <v>1299</v>
      </c>
      <c r="Y92" s="22" t="str">
        <f t="shared" ref="Y92" si="62">IF(AF92=0,"0",10)</f>
        <v>0</v>
      </c>
      <c r="Z92" s="22" t="str">
        <f t="shared" ref="Z92" si="63">IF(AF92=0,"0",50)</f>
        <v>0</v>
      </c>
      <c r="AA92" s="27">
        <f>+IFERROR(AF95/(AG95*-1),AF95)</f>
        <v>0</v>
      </c>
      <c r="AB92" s="85" t="str">
        <f>+IFERROR(AF96/AF92,"0")</f>
        <v>0</v>
      </c>
      <c r="AC92" s="29" t="str">
        <f t="shared" si="53"/>
        <v/>
      </c>
      <c r="AD92" s="30" t="str">
        <f t="shared" si="54"/>
        <v/>
      </c>
      <c r="AE92" s="30" t="str">
        <f t="shared" si="55"/>
        <v/>
      </c>
      <c r="AF92" s="9">
        <f>+COUNTIF(AC92:AC96,"1")</f>
        <v>0</v>
      </c>
    </row>
    <row r="93" spans="1:33" ht="20.25" customHeight="1" x14ac:dyDescent="0.3">
      <c r="A93" s="31">
        <f>+A92</f>
        <v>44093</v>
      </c>
      <c r="B93" s="32">
        <f t="shared" ref="B93:B96" si="64">+B92</f>
        <v>38</v>
      </c>
      <c r="C93" s="62">
        <f t="shared" si="48"/>
        <v>44093</v>
      </c>
      <c r="D93" s="19">
        <v>2</v>
      </c>
      <c r="E93" s="20"/>
      <c r="F93" s="21"/>
      <c r="G93" s="22"/>
      <c r="H93" s="22"/>
      <c r="I93" s="21"/>
      <c r="J93" s="22"/>
      <c r="K93" s="22"/>
      <c r="L93" s="23">
        <f t="shared" si="49"/>
        <v>0</v>
      </c>
      <c r="M93" s="22">
        <f t="shared" si="50"/>
        <v>0</v>
      </c>
      <c r="N93" s="24">
        <v>5</v>
      </c>
      <c r="O93" s="25">
        <v>1</v>
      </c>
      <c r="P93" s="25">
        <f t="shared" si="51"/>
        <v>0</v>
      </c>
      <c r="Q93" s="26"/>
      <c r="R93" s="26"/>
      <c r="S93" s="26"/>
      <c r="T93" s="27"/>
      <c r="U93" s="28">
        <f t="shared" si="52"/>
        <v>0</v>
      </c>
      <c r="V93" s="22"/>
      <c r="W93" s="22"/>
      <c r="X93" s="40"/>
      <c r="Y93" s="22"/>
      <c r="Z93" s="40"/>
      <c r="AA93" s="83"/>
      <c r="AB93" s="83"/>
      <c r="AC93" s="29" t="str">
        <f t="shared" si="53"/>
        <v/>
      </c>
      <c r="AD93" s="30" t="str">
        <f t="shared" si="54"/>
        <v/>
      </c>
      <c r="AE93" s="30" t="str">
        <f t="shared" si="55"/>
        <v/>
      </c>
      <c r="AF93" s="2"/>
    </row>
    <row r="94" spans="1:33" ht="20.25" customHeight="1" x14ac:dyDescent="0.3">
      <c r="A94" s="31">
        <f>+A93</f>
        <v>44093</v>
      </c>
      <c r="B94" s="32">
        <f t="shared" si="64"/>
        <v>38</v>
      </c>
      <c r="C94" s="62">
        <f t="shared" si="48"/>
        <v>44093</v>
      </c>
      <c r="D94" s="19">
        <v>3</v>
      </c>
      <c r="E94" s="20"/>
      <c r="F94" s="21"/>
      <c r="G94" s="22"/>
      <c r="H94" s="22"/>
      <c r="I94" s="21"/>
      <c r="J94" s="22"/>
      <c r="K94" s="22"/>
      <c r="L94" s="23">
        <f t="shared" si="49"/>
        <v>0</v>
      </c>
      <c r="M94" s="22">
        <f t="shared" si="50"/>
        <v>0</v>
      </c>
      <c r="N94" s="24">
        <v>5</v>
      </c>
      <c r="O94" s="25">
        <v>1</v>
      </c>
      <c r="P94" s="25">
        <f t="shared" si="51"/>
        <v>0</v>
      </c>
      <c r="Q94" s="26"/>
      <c r="R94" s="26"/>
      <c r="S94" s="26"/>
      <c r="T94" s="27"/>
      <c r="U94" s="28">
        <f t="shared" si="52"/>
        <v>0</v>
      </c>
      <c r="V94" s="22"/>
      <c r="W94" s="22"/>
      <c r="X94" s="40"/>
      <c r="Y94" s="22"/>
      <c r="Z94" s="40"/>
      <c r="AA94" s="40"/>
      <c r="AB94" s="40"/>
      <c r="AC94" s="29" t="str">
        <f t="shared" si="53"/>
        <v/>
      </c>
      <c r="AD94" s="30" t="str">
        <f t="shared" si="54"/>
        <v/>
      </c>
      <c r="AE94" s="30" t="str">
        <f t="shared" si="55"/>
        <v/>
      </c>
      <c r="AF94" s="2"/>
    </row>
    <row r="95" spans="1:33" ht="20.25" customHeight="1" x14ac:dyDescent="0.3">
      <c r="A95" s="31">
        <f>+A94</f>
        <v>44093</v>
      </c>
      <c r="B95" s="32">
        <f t="shared" si="64"/>
        <v>38</v>
      </c>
      <c r="C95" s="62">
        <f t="shared" si="48"/>
        <v>44093</v>
      </c>
      <c r="D95" s="19">
        <v>4</v>
      </c>
      <c r="E95" s="20"/>
      <c r="F95" s="21"/>
      <c r="G95" s="22"/>
      <c r="H95" s="22"/>
      <c r="I95" s="21"/>
      <c r="J95" s="22"/>
      <c r="K95" s="22"/>
      <c r="L95" s="23">
        <f t="shared" si="49"/>
        <v>0</v>
      </c>
      <c r="M95" s="22">
        <f t="shared" si="50"/>
        <v>0</v>
      </c>
      <c r="N95" s="24">
        <v>5</v>
      </c>
      <c r="O95" s="25">
        <v>1</v>
      </c>
      <c r="P95" s="25">
        <f t="shared" si="51"/>
        <v>0</v>
      </c>
      <c r="Q95" s="26"/>
      <c r="R95" s="26"/>
      <c r="S95" s="26"/>
      <c r="T95" s="27"/>
      <c r="U95" s="28">
        <f t="shared" si="52"/>
        <v>0</v>
      </c>
      <c r="V95" s="22"/>
      <c r="W95" s="22"/>
      <c r="X95" s="40"/>
      <c r="Y95" s="22"/>
      <c r="Z95" s="40"/>
      <c r="AA95" s="40"/>
      <c r="AB95" s="40"/>
      <c r="AC95" s="29" t="str">
        <f t="shared" si="53"/>
        <v/>
      </c>
      <c r="AD95" s="30" t="str">
        <f t="shared" si="54"/>
        <v/>
      </c>
      <c r="AE95" s="30" t="str">
        <f t="shared" si="55"/>
        <v/>
      </c>
      <c r="AF95" s="6">
        <f>+SUM(AD92:AD96)</f>
        <v>0</v>
      </c>
      <c r="AG95" s="6">
        <f>+SUM(AE91:AE96)</f>
        <v>0</v>
      </c>
    </row>
    <row r="96" spans="1:33" ht="20.25" customHeight="1" x14ac:dyDescent="0.3">
      <c r="A96" s="33">
        <f>+A95</f>
        <v>44093</v>
      </c>
      <c r="B96" s="34">
        <f t="shared" si="64"/>
        <v>38</v>
      </c>
      <c r="C96" s="63">
        <f t="shared" si="48"/>
        <v>44093</v>
      </c>
      <c r="D96" s="19">
        <v>5</v>
      </c>
      <c r="E96" s="20"/>
      <c r="F96" s="21"/>
      <c r="G96" s="22"/>
      <c r="H96" s="22"/>
      <c r="I96" s="21"/>
      <c r="J96" s="22"/>
      <c r="K96" s="22"/>
      <c r="L96" s="23">
        <f t="shared" si="49"/>
        <v>0</v>
      </c>
      <c r="M96" s="22">
        <f t="shared" si="50"/>
        <v>0</v>
      </c>
      <c r="N96" s="24">
        <v>5</v>
      </c>
      <c r="O96" s="25">
        <v>1</v>
      </c>
      <c r="P96" s="25">
        <f t="shared" si="51"/>
        <v>0</v>
      </c>
      <c r="Q96" s="26"/>
      <c r="R96" s="26"/>
      <c r="S96" s="26"/>
      <c r="T96" s="27"/>
      <c r="U96" s="28">
        <f t="shared" si="52"/>
        <v>0</v>
      </c>
      <c r="V96" s="22"/>
      <c r="W96" s="22"/>
      <c r="X96" s="40"/>
      <c r="Y96" s="22"/>
      <c r="Z96" s="40"/>
      <c r="AA96" s="40"/>
      <c r="AB96" s="40"/>
      <c r="AC96" s="29" t="str">
        <f t="shared" si="53"/>
        <v/>
      </c>
      <c r="AD96" s="30" t="str">
        <f t="shared" si="54"/>
        <v/>
      </c>
      <c r="AE96" s="30" t="str">
        <f t="shared" si="55"/>
        <v/>
      </c>
      <c r="AF96" s="7">
        <f>+COUNT(AD92:AD96)</f>
        <v>0</v>
      </c>
      <c r="AG96" s="7">
        <f>+COUNT(AE91:AE96)</f>
        <v>0</v>
      </c>
    </row>
    <row r="97" spans="1:34" ht="20.25" customHeight="1" x14ac:dyDescent="0.3">
      <c r="A97" s="17">
        <f>+A92+1</f>
        <v>44094</v>
      </c>
      <c r="B97" s="18">
        <f>WEEKNUM(A97,2)</f>
        <v>38</v>
      </c>
      <c r="C97" s="61">
        <f t="shared" si="48"/>
        <v>44094</v>
      </c>
      <c r="D97" s="19">
        <v>1</v>
      </c>
      <c r="E97" s="20"/>
      <c r="F97" s="21"/>
      <c r="G97" s="22"/>
      <c r="H97" s="22"/>
      <c r="I97" s="21"/>
      <c r="J97" s="22"/>
      <c r="K97" s="22"/>
      <c r="L97" s="23">
        <f t="shared" si="49"/>
        <v>0</v>
      </c>
      <c r="M97" s="22">
        <f t="shared" si="50"/>
        <v>0</v>
      </c>
      <c r="N97" s="24">
        <v>5</v>
      </c>
      <c r="O97" s="25">
        <v>1</v>
      </c>
      <c r="P97" s="25">
        <f t="shared" si="51"/>
        <v>0</v>
      </c>
      <c r="Q97" s="26"/>
      <c r="R97" s="26"/>
      <c r="S97" s="26"/>
      <c r="T97" s="27"/>
      <c r="U97" s="28">
        <f t="shared" si="52"/>
        <v>0</v>
      </c>
      <c r="V97" s="22">
        <f>SUM(U97:U101)</f>
        <v>0</v>
      </c>
      <c r="W97" s="84">
        <f>+Tabla1[[#This Row],[RESULTADO DEL DÍA]]+W92</f>
        <v>1269.5000000000005</v>
      </c>
      <c r="X97" s="22">
        <f>+X92+Tabla1[[#This Row],[Objetivo presupuestado]]</f>
        <v>1299</v>
      </c>
      <c r="Y97" s="22" t="str">
        <f t="shared" ref="Y97" si="65">IF(AF97=0,"0",10)</f>
        <v>0</v>
      </c>
      <c r="Z97" s="22" t="str">
        <f t="shared" ref="Z97" si="66">IF(AF97=0,"0",50)</f>
        <v>0</v>
      </c>
      <c r="AA97" s="27">
        <f>+IFERROR(AF100/(AG100*-1),AF100)</f>
        <v>0</v>
      </c>
      <c r="AB97" s="85" t="str">
        <f>+IFERROR(AF101/AF97,"0")</f>
        <v>0</v>
      </c>
      <c r="AC97" s="29" t="str">
        <f t="shared" si="53"/>
        <v/>
      </c>
      <c r="AD97" s="30" t="str">
        <f t="shared" si="54"/>
        <v/>
      </c>
      <c r="AE97" s="30" t="str">
        <f t="shared" si="55"/>
        <v/>
      </c>
      <c r="AF97" s="9">
        <f>+COUNTIF(AC97:AC101,"1")</f>
        <v>0</v>
      </c>
    </row>
    <row r="98" spans="1:34" ht="20.25" customHeight="1" x14ac:dyDescent="0.3">
      <c r="A98" s="31">
        <f>+A97</f>
        <v>44094</v>
      </c>
      <c r="B98" s="32">
        <f t="shared" ref="B98:B101" si="67">+B97</f>
        <v>38</v>
      </c>
      <c r="C98" s="62">
        <f t="shared" si="48"/>
        <v>44094</v>
      </c>
      <c r="D98" s="19">
        <v>2</v>
      </c>
      <c r="E98" s="20"/>
      <c r="F98" s="21"/>
      <c r="G98" s="22"/>
      <c r="H98" s="22"/>
      <c r="I98" s="21"/>
      <c r="J98" s="22"/>
      <c r="K98" s="22"/>
      <c r="L98" s="23">
        <f t="shared" si="49"/>
        <v>0</v>
      </c>
      <c r="M98" s="22">
        <f t="shared" si="50"/>
        <v>0</v>
      </c>
      <c r="N98" s="24">
        <v>5</v>
      </c>
      <c r="O98" s="25">
        <v>1</v>
      </c>
      <c r="P98" s="25">
        <f t="shared" si="51"/>
        <v>0</v>
      </c>
      <c r="Q98" s="26"/>
      <c r="R98" s="26"/>
      <c r="S98" s="26"/>
      <c r="T98" s="27"/>
      <c r="U98" s="28">
        <f t="shared" si="52"/>
        <v>0</v>
      </c>
      <c r="V98" s="22"/>
      <c r="W98" s="22"/>
      <c r="X98" s="40"/>
      <c r="Y98" s="22"/>
      <c r="Z98" s="40"/>
      <c r="AA98" s="83"/>
      <c r="AB98" s="83"/>
      <c r="AC98" s="29" t="str">
        <f t="shared" si="53"/>
        <v/>
      </c>
      <c r="AD98" s="30" t="str">
        <f t="shared" si="54"/>
        <v/>
      </c>
      <c r="AE98" s="30" t="str">
        <f t="shared" si="55"/>
        <v/>
      </c>
      <c r="AF98" s="2"/>
    </row>
    <row r="99" spans="1:34" ht="20.25" customHeight="1" x14ac:dyDescent="0.3">
      <c r="A99" s="31">
        <f>+A98</f>
        <v>44094</v>
      </c>
      <c r="B99" s="32">
        <f t="shared" si="67"/>
        <v>38</v>
      </c>
      <c r="C99" s="62">
        <f t="shared" si="48"/>
        <v>44094</v>
      </c>
      <c r="D99" s="19">
        <v>3</v>
      </c>
      <c r="E99" s="20"/>
      <c r="F99" s="21"/>
      <c r="G99" s="22"/>
      <c r="H99" s="22"/>
      <c r="I99" s="21"/>
      <c r="J99" s="22"/>
      <c r="K99" s="22"/>
      <c r="L99" s="23">
        <f t="shared" si="49"/>
        <v>0</v>
      </c>
      <c r="M99" s="22">
        <f t="shared" si="50"/>
        <v>0</v>
      </c>
      <c r="N99" s="24">
        <v>5</v>
      </c>
      <c r="O99" s="25">
        <v>1</v>
      </c>
      <c r="P99" s="25">
        <f t="shared" si="51"/>
        <v>0</v>
      </c>
      <c r="Q99" s="26"/>
      <c r="R99" s="26"/>
      <c r="S99" s="26"/>
      <c r="T99" s="27"/>
      <c r="U99" s="28">
        <f t="shared" si="52"/>
        <v>0</v>
      </c>
      <c r="V99" s="22"/>
      <c r="W99" s="22"/>
      <c r="X99" s="40"/>
      <c r="Y99" s="22"/>
      <c r="Z99" s="40"/>
      <c r="AA99" s="40"/>
      <c r="AB99" s="40"/>
      <c r="AC99" s="29" t="str">
        <f t="shared" si="53"/>
        <v/>
      </c>
      <c r="AD99" s="30" t="str">
        <f t="shared" si="54"/>
        <v/>
      </c>
      <c r="AE99" s="30" t="str">
        <f t="shared" si="55"/>
        <v/>
      </c>
      <c r="AF99" s="2"/>
    </row>
    <row r="100" spans="1:34" ht="20.25" customHeight="1" x14ac:dyDescent="0.3">
      <c r="A100" s="31">
        <f>+A99</f>
        <v>44094</v>
      </c>
      <c r="B100" s="32">
        <f t="shared" si="67"/>
        <v>38</v>
      </c>
      <c r="C100" s="62">
        <f t="shared" si="48"/>
        <v>44094</v>
      </c>
      <c r="D100" s="19">
        <v>4</v>
      </c>
      <c r="E100" s="20"/>
      <c r="F100" s="21"/>
      <c r="G100" s="22"/>
      <c r="H100" s="22"/>
      <c r="I100" s="21"/>
      <c r="J100" s="22"/>
      <c r="K100" s="22"/>
      <c r="L100" s="23">
        <f t="shared" si="49"/>
        <v>0</v>
      </c>
      <c r="M100" s="22">
        <f t="shared" si="50"/>
        <v>0</v>
      </c>
      <c r="N100" s="24">
        <v>5</v>
      </c>
      <c r="O100" s="25">
        <v>1</v>
      </c>
      <c r="P100" s="25">
        <f t="shared" si="51"/>
        <v>0</v>
      </c>
      <c r="Q100" s="26"/>
      <c r="R100" s="26"/>
      <c r="S100" s="26"/>
      <c r="T100" s="27"/>
      <c r="U100" s="28">
        <f t="shared" si="52"/>
        <v>0</v>
      </c>
      <c r="V100" s="22"/>
      <c r="W100" s="22"/>
      <c r="X100" s="40"/>
      <c r="Y100" s="22"/>
      <c r="Z100" s="40"/>
      <c r="AA100" s="40"/>
      <c r="AB100" s="40"/>
      <c r="AC100" s="29" t="str">
        <f t="shared" si="53"/>
        <v/>
      </c>
      <c r="AD100" s="30" t="str">
        <f t="shared" si="54"/>
        <v/>
      </c>
      <c r="AE100" s="30" t="str">
        <f t="shared" si="55"/>
        <v/>
      </c>
      <c r="AF100" s="6">
        <f>+SUM(AD97:AD101)</f>
        <v>0</v>
      </c>
      <c r="AG100" s="6">
        <f>+SUM(AE96:AE101)</f>
        <v>0</v>
      </c>
    </row>
    <row r="101" spans="1:34" ht="20.25" customHeight="1" x14ac:dyDescent="0.3">
      <c r="A101" s="33">
        <f>+A100</f>
        <v>44094</v>
      </c>
      <c r="B101" s="34">
        <f t="shared" si="67"/>
        <v>38</v>
      </c>
      <c r="C101" s="63">
        <f t="shared" si="48"/>
        <v>44094</v>
      </c>
      <c r="D101" s="19">
        <v>5</v>
      </c>
      <c r="E101" s="20"/>
      <c r="F101" s="21"/>
      <c r="G101" s="22"/>
      <c r="H101" s="22"/>
      <c r="I101" s="21"/>
      <c r="J101" s="22"/>
      <c r="K101" s="22"/>
      <c r="L101" s="23">
        <f t="shared" si="49"/>
        <v>0</v>
      </c>
      <c r="M101" s="22">
        <f t="shared" si="50"/>
        <v>0</v>
      </c>
      <c r="N101" s="24">
        <v>5</v>
      </c>
      <c r="O101" s="25">
        <v>1</v>
      </c>
      <c r="P101" s="25">
        <f t="shared" si="51"/>
        <v>0</v>
      </c>
      <c r="Q101" s="26"/>
      <c r="R101" s="26"/>
      <c r="S101" s="26"/>
      <c r="T101" s="27"/>
      <c r="U101" s="28">
        <f t="shared" si="52"/>
        <v>0</v>
      </c>
      <c r="V101" s="22"/>
      <c r="W101" s="22"/>
      <c r="X101" s="40"/>
      <c r="Y101" s="22"/>
      <c r="Z101" s="40"/>
      <c r="AA101" s="40"/>
      <c r="AB101" s="40"/>
      <c r="AC101" s="29" t="str">
        <f t="shared" si="53"/>
        <v/>
      </c>
      <c r="AD101" s="30" t="str">
        <f t="shared" si="54"/>
        <v/>
      </c>
      <c r="AE101" s="30" t="str">
        <f t="shared" si="55"/>
        <v/>
      </c>
      <c r="AF101" s="7">
        <f>+COUNT(AD97:AD101)</f>
        <v>0</v>
      </c>
      <c r="AG101" s="7">
        <f>+COUNT(AE96:AE101)</f>
        <v>0</v>
      </c>
    </row>
    <row r="102" spans="1:34" ht="20.25" customHeight="1" x14ac:dyDescent="0.3">
      <c r="A102" s="17">
        <f>+A97+1</f>
        <v>44095</v>
      </c>
      <c r="B102" s="18">
        <f>WEEKNUM(A102,2)</f>
        <v>39</v>
      </c>
      <c r="C102" s="61">
        <f t="shared" si="48"/>
        <v>44095</v>
      </c>
      <c r="D102" s="19">
        <v>1</v>
      </c>
      <c r="E102" s="20"/>
      <c r="F102" s="21"/>
      <c r="G102" s="22"/>
      <c r="H102" s="22"/>
      <c r="I102" s="21"/>
      <c r="J102" s="22"/>
      <c r="K102" s="22"/>
      <c r="L102" s="23">
        <f t="shared" si="49"/>
        <v>0</v>
      </c>
      <c r="M102" s="22">
        <f t="shared" si="50"/>
        <v>0</v>
      </c>
      <c r="N102" s="24">
        <v>5</v>
      </c>
      <c r="O102" s="25">
        <v>1</v>
      </c>
      <c r="P102" s="25">
        <f t="shared" si="51"/>
        <v>0</v>
      </c>
      <c r="Q102" s="26"/>
      <c r="R102" s="26"/>
      <c r="S102" s="26"/>
      <c r="T102" s="27"/>
      <c r="U102" s="28">
        <f t="shared" si="52"/>
        <v>0</v>
      </c>
      <c r="V102" s="22">
        <f>SUM(U102:U106)</f>
        <v>0</v>
      </c>
      <c r="W102" s="84">
        <f>+Tabla1[[#This Row],[RESULTADO DEL DÍA]]+W97</f>
        <v>1269.5000000000005</v>
      </c>
      <c r="X102" s="22">
        <f>+X97+Tabla1[[#This Row],[Objetivo presupuestado]]</f>
        <v>1299</v>
      </c>
      <c r="Y102" s="22" t="str">
        <f t="shared" ref="Y102" si="68">IF(AF102=0,"0",10)</f>
        <v>0</v>
      </c>
      <c r="Z102" s="22" t="str">
        <f t="shared" ref="Z102" si="69">IF(AF102=0,"0",50)</f>
        <v>0</v>
      </c>
      <c r="AA102" s="27">
        <f>+IFERROR(AF105/(AG105*-1),AF105)</f>
        <v>0</v>
      </c>
      <c r="AB102" s="85" t="str">
        <f>+IFERROR(AF106/AF102,"0")</f>
        <v>0</v>
      </c>
      <c r="AC102" s="29" t="str">
        <f t="shared" si="53"/>
        <v/>
      </c>
      <c r="AD102" s="30" t="str">
        <f t="shared" si="54"/>
        <v/>
      </c>
      <c r="AE102" s="30" t="str">
        <f t="shared" si="55"/>
        <v/>
      </c>
      <c r="AF102" s="9">
        <f>+COUNTIF(AC102:AC106,"1")</f>
        <v>0</v>
      </c>
    </row>
    <row r="103" spans="1:34" ht="20.25" customHeight="1" x14ac:dyDescent="0.3">
      <c r="A103" s="31">
        <f>+A102</f>
        <v>44095</v>
      </c>
      <c r="B103" s="32">
        <f t="shared" ref="B103:B106" si="70">+B102</f>
        <v>39</v>
      </c>
      <c r="C103" s="62">
        <f t="shared" si="48"/>
        <v>44095</v>
      </c>
      <c r="D103" s="19">
        <v>2</v>
      </c>
      <c r="E103" s="20"/>
      <c r="F103" s="21"/>
      <c r="G103" s="22"/>
      <c r="H103" s="22"/>
      <c r="I103" s="21"/>
      <c r="J103" s="22"/>
      <c r="K103" s="22"/>
      <c r="L103" s="23">
        <f t="shared" si="49"/>
        <v>0</v>
      </c>
      <c r="M103" s="22">
        <f t="shared" si="50"/>
        <v>0</v>
      </c>
      <c r="N103" s="24">
        <v>5</v>
      </c>
      <c r="O103" s="25">
        <v>1</v>
      </c>
      <c r="P103" s="25">
        <f t="shared" si="51"/>
        <v>0</v>
      </c>
      <c r="Q103" s="26"/>
      <c r="R103" s="26"/>
      <c r="S103" s="26"/>
      <c r="T103" s="27"/>
      <c r="U103" s="28">
        <f t="shared" si="52"/>
        <v>0</v>
      </c>
      <c r="V103" s="22"/>
      <c r="W103" s="22"/>
      <c r="X103" s="40"/>
      <c r="Y103" s="22"/>
      <c r="Z103" s="40"/>
      <c r="AA103" s="83"/>
      <c r="AB103" s="83"/>
      <c r="AC103" s="29" t="str">
        <f t="shared" si="53"/>
        <v/>
      </c>
      <c r="AD103" s="30" t="str">
        <f t="shared" si="54"/>
        <v/>
      </c>
      <c r="AE103" s="30" t="str">
        <f t="shared" si="55"/>
        <v/>
      </c>
      <c r="AF103" s="2"/>
    </row>
    <row r="104" spans="1:34" ht="20.25" customHeight="1" x14ac:dyDescent="0.3">
      <c r="A104" s="31">
        <f>+A103</f>
        <v>44095</v>
      </c>
      <c r="B104" s="32">
        <f t="shared" si="70"/>
        <v>39</v>
      </c>
      <c r="C104" s="62">
        <f t="shared" si="48"/>
        <v>44095</v>
      </c>
      <c r="D104" s="19">
        <v>3</v>
      </c>
      <c r="E104" s="20"/>
      <c r="F104" s="21"/>
      <c r="G104" s="22"/>
      <c r="H104" s="22"/>
      <c r="I104" s="21"/>
      <c r="J104" s="22"/>
      <c r="K104" s="22"/>
      <c r="L104" s="23">
        <f t="shared" si="49"/>
        <v>0</v>
      </c>
      <c r="M104" s="22">
        <f t="shared" si="50"/>
        <v>0</v>
      </c>
      <c r="N104" s="24">
        <v>5</v>
      </c>
      <c r="O104" s="25">
        <v>1</v>
      </c>
      <c r="P104" s="25">
        <f t="shared" si="51"/>
        <v>0</v>
      </c>
      <c r="Q104" s="26"/>
      <c r="R104" s="26"/>
      <c r="S104" s="26"/>
      <c r="T104" s="27"/>
      <c r="U104" s="28">
        <f t="shared" si="52"/>
        <v>0</v>
      </c>
      <c r="V104" s="22"/>
      <c r="W104" s="22"/>
      <c r="X104" s="40"/>
      <c r="Y104" s="22"/>
      <c r="Z104" s="40"/>
      <c r="AA104" s="40"/>
      <c r="AB104" s="40"/>
      <c r="AC104" s="29" t="str">
        <f t="shared" si="53"/>
        <v/>
      </c>
      <c r="AD104" s="30" t="str">
        <f t="shared" si="54"/>
        <v/>
      </c>
      <c r="AE104" s="30" t="str">
        <f t="shared" si="55"/>
        <v/>
      </c>
      <c r="AF104" s="2"/>
    </row>
    <row r="105" spans="1:34" ht="20.25" customHeight="1" x14ac:dyDescent="0.3">
      <c r="A105" s="31">
        <f>+A104</f>
        <v>44095</v>
      </c>
      <c r="B105" s="32">
        <f t="shared" si="70"/>
        <v>39</v>
      </c>
      <c r="C105" s="62">
        <f t="shared" si="48"/>
        <v>44095</v>
      </c>
      <c r="D105" s="19">
        <v>4</v>
      </c>
      <c r="E105" s="20"/>
      <c r="F105" s="21"/>
      <c r="G105" s="22"/>
      <c r="H105" s="22"/>
      <c r="I105" s="21"/>
      <c r="J105" s="22"/>
      <c r="K105" s="22"/>
      <c r="L105" s="23">
        <f t="shared" si="49"/>
        <v>0</v>
      </c>
      <c r="M105" s="22">
        <f t="shared" si="50"/>
        <v>0</v>
      </c>
      <c r="N105" s="24">
        <v>5</v>
      </c>
      <c r="O105" s="25">
        <v>1</v>
      </c>
      <c r="P105" s="25">
        <f t="shared" si="51"/>
        <v>0</v>
      </c>
      <c r="Q105" s="26"/>
      <c r="R105" s="26"/>
      <c r="S105" s="26"/>
      <c r="T105" s="27"/>
      <c r="U105" s="28">
        <f t="shared" si="52"/>
        <v>0</v>
      </c>
      <c r="V105" s="22"/>
      <c r="W105" s="22"/>
      <c r="X105" s="40"/>
      <c r="Y105" s="22"/>
      <c r="Z105" s="40"/>
      <c r="AA105" s="40"/>
      <c r="AB105" s="40"/>
      <c r="AC105" s="29" t="str">
        <f t="shared" si="53"/>
        <v/>
      </c>
      <c r="AD105" s="30" t="str">
        <f t="shared" si="54"/>
        <v/>
      </c>
      <c r="AE105" s="30" t="str">
        <f t="shared" si="55"/>
        <v/>
      </c>
      <c r="AF105" s="6">
        <f>+SUM(AD102:AD106)</f>
        <v>0</v>
      </c>
      <c r="AG105" s="6">
        <f>+SUM(AE101:AE106)</f>
        <v>0</v>
      </c>
    </row>
    <row r="106" spans="1:34" ht="20.25" customHeight="1" x14ac:dyDescent="0.3">
      <c r="A106" s="33">
        <f>+A105</f>
        <v>44095</v>
      </c>
      <c r="B106" s="34">
        <f t="shared" si="70"/>
        <v>39</v>
      </c>
      <c r="C106" s="63">
        <f t="shared" si="48"/>
        <v>44095</v>
      </c>
      <c r="D106" s="19">
        <v>5</v>
      </c>
      <c r="E106" s="20"/>
      <c r="F106" s="21"/>
      <c r="G106" s="22"/>
      <c r="H106" s="22"/>
      <c r="I106" s="21"/>
      <c r="J106" s="22"/>
      <c r="K106" s="22"/>
      <c r="L106" s="23">
        <f t="shared" si="49"/>
        <v>0</v>
      </c>
      <c r="M106" s="22">
        <f t="shared" si="50"/>
        <v>0</v>
      </c>
      <c r="N106" s="24">
        <v>5</v>
      </c>
      <c r="O106" s="25">
        <v>1</v>
      </c>
      <c r="P106" s="25">
        <f t="shared" si="51"/>
        <v>0</v>
      </c>
      <c r="Q106" s="26"/>
      <c r="R106" s="26"/>
      <c r="S106" s="26"/>
      <c r="T106" s="27"/>
      <c r="U106" s="28">
        <f t="shared" si="52"/>
        <v>0</v>
      </c>
      <c r="V106" s="22"/>
      <c r="W106" s="22"/>
      <c r="X106" s="40"/>
      <c r="Y106" s="22"/>
      <c r="Z106" s="40"/>
      <c r="AA106" s="40"/>
      <c r="AB106" s="40"/>
      <c r="AC106" s="29" t="str">
        <f t="shared" si="53"/>
        <v/>
      </c>
      <c r="AD106" s="30" t="str">
        <f t="shared" si="54"/>
        <v/>
      </c>
      <c r="AE106" s="30" t="str">
        <f t="shared" si="55"/>
        <v/>
      </c>
      <c r="AF106" s="7">
        <f>+COUNT(AD102:AD106)</f>
        <v>0</v>
      </c>
      <c r="AG106" s="7">
        <f>+COUNT(AE101:AE106)</f>
        <v>0</v>
      </c>
    </row>
    <row r="107" spans="1:34" ht="20.25" customHeight="1" x14ac:dyDescent="0.3">
      <c r="A107" s="17">
        <f>+A102+1</f>
        <v>44096</v>
      </c>
      <c r="B107" s="18">
        <f>WEEKNUM(A107,2)</f>
        <v>39</v>
      </c>
      <c r="C107" s="61">
        <f t="shared" si="48"/>
        <v>44096</v>
      </c>
      <c r="D107" s="19">
        <v>1</v>
      </c>
      <c r="E107" s="20"/>
      <c r="F107" s="21"/>
      <c r="G107" s="22"/>
      <c r="H107" s="22"/>
      <c r="I107" s="21"/>
      <c r="J107" s="22"/>
      <c r="K107" s="22"/>
      <c r="L107" s="23">
        <f t="shared" si="49"/>
        <v>0</v>
      </c>
      <c r="M107" s="22">
        <f t="shared" si="50"/>
        <v>0</v>
      </c>
      <c r="N107" s="24">
        <v>5</v>
      </c>
      <c r="O107" s="25">
        <v>1</v>
      </c>
      <c r="P107" s="25">
        <f t="shared" si="51"/>
        <v>0</v>
      </c>
      <c r="Q107" s="26"/>
      <c r="R107" s="26"/>
      <c r="S107" s="26"/>
      <c r="T107" s="27"/>
      <c r="U107" s="28">
        <f t="shared" si="52"/>
        <v>0</v>
      </c>
      <c r="V107" s="22">
        <f>SUM(U107:U111)</f>
        <v>0</v>
      </c>
      <c r="W107" s="84">
        <f>+Tabla1[[#This Row],[RESULTADO DEL DÍA]]+W102</f>
        <v>1269.5000000000005</v>
      </c>
      <c r="X107" s="22">
        <f>+X102+Tabla1[[#This Row],[Objetivo presupuestado]]</f>
        <v>1299</v>
      </c>
      <c r="Y107" s="22" t="str">
        <f t="shared" ref="Y107" si="71">IF(AF107=0,"0",10)</f>
        <v>0</v>
      </c>
      <c r="Z107" s="22" t="str">
        <f t="shared" ref="Z107" si="72">IF(AF107=0,"0",50)</f>
        <v>0</v>
      </c>
      <c r="AA107" s="27">
        <f>+IFERROR(AF110/(AG110*-1),AF110)</f>
        <v>0</v>
      </c>
      <c r="AB107" s="85" t="str">
        <f>+IFERROR(AF111/AF107,"0")</f>
        <v>0</v>
      </c>
      <c r="AC107" s="29" t="str">
        <f t="shared" si="53"/>
        <v/>
      </c>
      <c r="AD107" s="30" t="str">
        <f t="shared" si="54"/>
        <v/>
      </c>
      <c r="AE107" s="30" t="str">
        <f t="shared" si="55"/>
        <v/>
      </c>
      <c r="AF107" s="9">
        <f>+COUNTIF(AC107:AC111,"1")</f>
        <v>0</v>
      </c>
      <c r="AH107" s="6"/>
    </row>
    <row r="108" spans="1:34" ht="20.25" customHeight="1" x14ac:dyDescent="0.3">
      <c r="A108" s="31">
        <f>+A107</f>
        <v>44096</v>
      </c>
      <c r="B108" s="32">
        <f t="shared" ref="B108:B111" si="73">+B107</f>
        <v>39</v>
      </c>
      <c r="C108" s="62">
        <f t="shared" si="48"/>
        <v>44096</v>
      </c>
      <c r="D108" s="19">
        <v>2</v>
      </c>
      <c r="E108" s="20"/>
      <c r="F108" s="21"/>
      <c r="G108" s="22"/>
      <c r="H108" s="22"/>
      <c r="I108" s="21"/>
      <c r="J108" s="22"/>
      <c r="K108" s="22"/>
      <c r="L108" s="23">
        <f t="shared" si="49"/>
        <v>0</v>
      </c>
      <c r="M108" s="22">
        <f t="shared" si="50"/>
        <v>0</v>
      </c>
      <c r="N108" s="24">
        <v>5</v>
      </c>
      <c r="O108" s="25">
        <v>1</v>
      </c>
      <c r="P108" s="25">
        <f t="shared" si="51"/>
        <v>0</v>
      </c>
      <c r="Q108" s="26"/>
      <c r="R108" s="26"/>
      <c r="S108" s="26"/>
      <c r="T108" s="27"/>
      <c r="U108" s="28">
        <f t="shared" si="52"/>
        <v>0</v>
      </c>
      <c r="V108" s="22"/>
      <c r="W108" s="22"/>
      <c r="X108" s="40"/>
      <c r="Y108" s="22"/>
      <c r="Z108" s="40"/>
      <c r="AA108" s="83"/>
      <c r="AB108" s="83"/>
      <c r="AC108" s="29" t="str">
        <f t="shared" si="53"/>
        <v/>
      </c>
      <c r="AD108" s="30" t="str">
        <f t="shared" si="54"/>
        <v/>
      </c>
      <c r="AE108" s="30" t="str">
        <f t="shared" si="55"/>
        <v/>
      </c>
      <c r="AF108" s="2"/>
      <c r="AH108" s="7"/>
    </row>
    <row r="109" spans="1:34" ht="20.25" customHeight="1" x14ac:dyDescent="0.3">
      <c r="A109" s="31">
        <f>+A108</f>
        <v>44096</v>
      </c>
      <c r="B109" s="32">
        <f t="shared" si="73"/>
        <v>39</v>
      </c>
      <c r="C109" s="62">
        <f t="shared" si="48"/>
        <v>44096</v>
      </c>
      <c r="D109" s="19">
        <v>3</v>
      </c>
      <c r="E109" s="20"/>
      <c r="F109" s="21"/>
      <c r="G109" s="22"/>
      <c r="H109" s="22"/>
      <c r="I109" s="21"/>
      <c r="J109" s="22"/>
      <c r="K109" s="22"/>
      <c r="L109" s="23">
        <f t="shared" si="49"/>
        <v>0</v>
      </c>
      <c r="M109" s="22">
        <f t="shared" si="50"/>
        <v>0</v>
      </c>
      <c r="N109" s="24">
        <v>5</v>
      </c>
      <c r="O109" s="25">
        <v>1</v>
      </c>
      <c r="P109" s="25">
        <f t="shared" si="51"/>
        <v>0</v>
      </c>
      <c r="Q109" s="26"/>
      <c r="R109" s="26"/>
      <c r="S109" s="26"/>
      <c r="T109" s="27"/>
      <c r="U109" s="28">
        <f t="shared" si="52"/>
        <v>0</v>
      </c>
      <c r="V109" s="22"/>
      <c r="W109" s="22"/>
      <c r="X109" s="40"/>
      <c r="Y109" s="22"/>
      <c r="Z109" s="40"/>
      <c r="AA109" s="40"/>
      <c r="AB109" s="40"/>
      <c r="AC109" s="29" t="str">
        <f t="shared" si="53"/>
        <v/>
      </c>
      <c r="AD109" s="30" t="str">
        <f t="shared" si="54"/>
        <v/>
      </c>
      <c r="AE109" s="30" t="str">
        <f t="shared" si="55"/>
        <v/>
      </c>
      <c r="AF109" s="2"/>
    </row>
    <row r="110" spans="1:34" ht="20.25" customHeight="1" x14ac:dyDescent="0.3">
      <c r="A110" s="31">
        <f>+A109</f>
        <v>44096</v>
      </c>
      <c r="B110" s="32">
        <f t="shared" si="73"/>
        <v>39</v>
      </c>
      <c r="C110" s="62">
        <f t="shared" si="48"/>
        <v>44096</v>
      </c>
      <c r="D110" s="19">
        <v>4</v>
      </c>
      <c r="E110" s="20"/>
      <c r="F110" s="21"/>
      <c r="G110" s="22"/>
      <c r="H110" s="22"/>
      <c r="I110" s="21"/>
      <c r="J110" s="22"/>
      <c r="K110" s="22"/>
      <c r="L110" s="23">
        <f t="shared" si="49"/>
        <v>0</v>
      </c>
      <c r="M110" s="22">
        <f t="shared" si="50"/>
        <v>0</v>
      </c>
      <c r="N110" s="24">
        <v>5</v>
      </c>
      <c r="O110" s="25">
        <v>1</v>
      </c>
      <c r="P110" s="25">
        <f t="shared" si="51"/>
        <v>0</v>
      </c>
      <c r="Q110" s="26"/>
      <c r="R110" s="26"/>
      <c r="S110" s="26"/>
      <c r="T110" s="27"/>
      <c r="U110" s="28">
        <f t="shared" si="52"/>
        <v>0</v>
      </c>
      <c r="V110" s="22"/>
      <c r="W110" s="22"/>
      <c r="X110" s="40"/>
      <c r="Y110" s="22"/>
      <c r="Z110" s="40"/>
      <c r="AA110" s="40"/>
      <c r="AB110" s="40"/>
      <c r="AC110" s="29" t="str">
        <f t="shared" si="53"/>
        <v/>
      </c>
      <c r="AD110" s="30" t="str">
        <f t="shared" si="54"/>
        <v/>
      </c>
      <c r="AE110" s="30" t="str">
        <f t="shared" si="55"/>
        <v/>
      </c>
      <c r="AF110" s="6">
        <f>+SUM(AD107:AD111)</f>
        <v>0</v>
      </c>
      <c r="AG110" s="6">
        <f>+SUM(AE106:AE111)</f>
        <v>0</v>
      </c>
    </row>
    <row r="111" spans="1:34" ht="20.25" customHeight="1" x14ac:dyDescent="0.3">
      <c r="A111" s="33">
        <f>+A110</f>
        <v>44096</v>
      </c>
      <c r="B111" s="34">
        <f t="shared" si="73"/>
        <v>39</v>
      </c>
      <c r="C111" s="63">
        <f t="shared" si="48"/>
        <v>44096</v>
      </c>
      <c r="D111" s="19">
        <v>5</v>
      </c>
      <c r="E111" s="20"/>
      <c r="F111" s="21"/>
      <c r="G111" s="22"/>
      <c r="H111" s="22"/>
      <c r="I111" s="21"/>
      <c r="J111" s="22"/>
      <c r="K111" s="22"/>
      <c r="L111" s="23">
        <f t="shared" si="49"/>
        <v>0</v>
      </c>
      <c r="M111" s="22">
        <f t="shared" si="50"/>
        <v>0</v>
      </c>
      <c r="N111" s="24">
        <v>5</v>
      </c>
      <c r="O111" s="25">
        <v>1</v>
      </c>
      <c r="P111" s="25">
        <f t="shared" si="51"/>
        <v>0</v>
      </c>
      <c r="Q111" s="26"/>
      <c r="R111" s="26"/>
      <c r="S111" s="26"/>
      <c r="T111" s="27"/>
      <c r="U111" s="28">
        <f t="shared" si="52"/>
        <v>0</v>
      </c>
      <c r="V111" s="22"/>
      <c r="W111" s="22"/>
      <c r="X111" s="40"/>
      <c r="Y111" s="22"/>
      <c r="Z111" s="40"/>
      <c r="AA111" s="40"/>
      <c r="AB111" s="40"/>
      <c r="AC111" s="29" t="str">
        <f t="shared" si="53"/>
        <v/>
      </c>
      <c r="AD111" s="30" t="str">
        <f t="shared" si="54"/>
        <v/>
      </c>
      <c r="AE111" s="30" t="str">
        <f t="shared" si="55"/>
        <v/>
      </c>
      <c r="AF111" s="7">
        <f>+COUNT(AD107:AD111)</f>
        <v>0</v>
      </c>
      <c r="AG111" s="7">
        <f>+COUNT(AE106:AE111)</f>
        <v>0</v>
      </c>
    </row>
    <row r="112" spans="1:34" ht="20.25" customHeight="1" x14ac:dyDescent="0.3">
      <c r="A112" s="17">
        <f>+A107+1</f>
        <v>44097</v>
      </c>
      <c r="B112" s="18">
        <f>WEEKNUM(A112,2)</f>
        <v>39</v>
      </c>
      <c r="C112" s="61">
        <f t="shared" si="48"/>
        <v>44097</v>
      </c>
      <c r="D112" s="19">
        <v>1</v>
      </c>
      <c r="E112" s="20"/>
      <c r="F112" s="21"/>
      <c r="G112" s="22"/>
      <c r="H112" s="22"/>
      <c r="I112" s="21"/>
      <c r="J112" s="22"/>
      <c r="K112" s="22"/>
      <c r="L112" s="23">
        <f t="shared" si="49"/>
        <v>0</v>
      </c>
      <c r="M112" s="22">
        <f t="shared" si="50"/>
        <v>0</v>
      </c>
      <c r="N112" s="24">
        <v>5</v>
      </c>
      <c r="O112" s="25">
        <v>1</v>
      </c>
      <c r="P112" s="25">
        <f t="shared" si="51"/>
        <v>0</v>
      </c>
      <c r="Q112" s="26"/>
      <c r="R112" s="26"/>
      <c r="S112" s="26"/>
      <c r="T112" s="27"/>
      <c r="U112" s="28">
        <f t="shared" si="52"/>
        <v>0</v>
      </c>
      <c r="V112" s="22">
        <f>SUM(U112:U116)</f>
        <v>0</v>
      </c>
      <c r="W112" s="84">
        <f>+Tabla1[[#This Row],[RESULTADO DEL DÍA]]+W107</f>
        <v>1269.5000000000005</v>
      </c>
      <c r="X112" s="22">
        <f>+X107+Tabla1[[#This Row],[Objetivo presupuestado]]</f>
        <v>1299</v>
      </c>
      <c r="Y112" s="22" t="str">
        <f t="shared" ref="Y112" si="74">IF(AF112=0,"0",10)</f>
        <v>0</v>
      </c>
      <c r="Z112" s="22" t="str">
        <f t="shared" ref="Z112" si="75">IF(AF112=0,"0",50)</f>
        <v>0</v>
      </c>
      <c r="AA112" s="27">
        <f>+IFERROR(AF115/(AG115*-1),AF115)</f>
        <v>0</v>
      </c>
      <c r="AB112" s="85" t="str">
        <f>+IFERROR(AF116/AF112,"0")</f>
        <v>0</v>
      </c>
      <c r="AC112" s="29" t="str">
        <f t="shared" si="53"/>
        <v/>
      </c>
      <c r="AD112" s="30" t="str">
        <f t="shared" si="54"/>
        <v/>
      </c>
      <c r="AE112" s="30" t="str">
        <f t="shared" si="55"/>
        <v/>
      </c>
      <c r="AF112" s="9">
        <f>+COUNTIF(AC112:AC116,"1")</f>
        <v>0</v>
      </c>
      <c r="AH112" s="6">
        <f>+SUM(AF104:AF142)</f>
        <v>0</v>
      </c>
    </row>
    <row r="113" spans="1:34" ht="20.25" customHeight="1" x14ac:dyDescent="0.3">
      <c r="A113" s="31">
        <f>+A112</f>
        <v>44097</v>
      </c>
      <c r="B113" s="32">
        <f t="shared" ref="B113:B116" si="76">+B112</f>
        <v>39</v>
      </c>
      <c r="C113" s="62">
        <f t="shared" si="48"/>
        <v>44097</v>
      </c>
      <c r="D113" s="19">
        <v>2</v>
      </c>
      <c r="E113" s="20"/>
      <c r="F113" s="21"/>
      <c r="G113" s="22"/>
      <c r="H113" s="22"/>
      <c r="I113" s="21"/>
      <c r="J113" s="22"/>
      <c r="K113" s="22"/>
      <c r="L113" s="23">
        <f t="shared" si="49"/>
        <v>0</v>
      </c>
      <c r="M113" s="22">
        <f t="shared" si="50"/>
        <v>0</v>
      </c>
      <c r="N113" s="24">
        <v>5</v>
      </c>
      <c r="O113" s="25">
        <v>1</v>
      </c>
      <c r="P113" s="25">
        <f t="shared" si="51"/>
        <v>0</v>
      </c>
      <c r="Q113" s="26"/>
      <c r="R113" s="26"/>
      <c r="S113" s="26"/>
      <c r="T113" s="27"/>
      <c r="U113" s="28">
        <f t="shared" si="52"/>
        <v>0</v>
      </c>
      <c r="V113" s="22"/>
      <c r="W113" s="22"/>
      <c r="X113" s="40"/>
      <c r="Y113" s="22"/>
      <c r="Z113" s="40"/>
      <c r="AA113" s="83"/>
      <c r="AB113" s="83"/>
      <c r="AC113" s="29" t="str">
        <f t="shared" si="53"/>
        <v/>
      </c>
      <c r="AD113" s="30" t="str">
        <f t="shared" si="54"/>
        <v/>
      </c>
      <c r="AE113" s="30" t="str">
        <f t="shared" si="55"/>
        <v/>
      </c>
      <c r="AF113" s="2"/>
      <c r="AH113" s="6"/>
    </row>
    <row r="114" spans="1:34" ht="20.25" customHeight="1" x14ac:dyDescent="0.3">
      <c r="A114" s="31">
        <f>+A113</f>
        <v>44097</v>
      </c>
      <c r="B114" s="32">
        <f t="shared" si="76"/>
        <v>39</v>
      </c>
      <c r="C114" s="62">
        <f t="shared" si="48"/>
        <v>44097</v>
      </c>
      <c r="D114" s="19">
        <v>3</v>
      </c>
      <c r="E114" s="20"/>
      <c r="F114" s="21"/>
      <c r="G114" s="22"/>
      <c r="H114" s="22"/>
      <c r="I114" s="21"/>
      <c r="J114" s="22"/>
      <c r="K114" s="22"/>
      <c r="L114" s="23">
        <f t="shared" si="49"/>
        <v>0</v>
      </c>
      <c r="M114" s="22">
        <f t="shared" si="50"/>
        <v>0</v>
      </c>
      <c r="N114" s="24">
        <v>5</v>
      </c>
      <c r="O114" s="25">
        <v>1</v>
      </c>
      <c r="P114" s="25">
        <f t="shared" si="51"/>
        <v>0</v>
      </c>
      <c r="Q114" s="26"/>
      <c r="R114" s="26"/>
      <c r="S114" s="26"/>
      <c r="T114" s="27"/>
      <c r="U114" s="28">
        <f t="shared" si="52"/>
        <v>0</v>
      </c>
      <c r="V114" s="22"/>
      <c r="W114" s="22"/>
      <c r="X114" s="40"/>
      <c r="Y114" s="22"/>
      <c r="Z114" s="40"/>
      <c r="AA114" s="40"/>
      <c r="AB114" s="40"/>
      <c r="AC114" s="29" t="str">
        <f t="shared" si="53"/>
        <v/>
      </c>
      <c r="AD114" s="30" t="str">
        <f t="shared" si="54"/>
        <v/>
      </c>
      <c r="AE114" s="30" t="str">
        <f t="shared" si="55"/>
        <v/>
      </c>
      <c r="AF114" s="2"/>
      <c r="AH114" s="6"/>
    </row>
    <row r="115" spans="1:34" ht="20.25" customHeight="1" x14ac:dyDescent="0.3">
      <c r="A115" s="31">
        <f>+A114</f>
        <v>44097</v>
      </c>
      <c r="B115" s="32">
        <f t="shared" si="76"/>
        <v>39</v>
      </c>
      <c r="C115" s="62">
        <f t="shared" si="48"/>
        <v>44097</v>
      </c>
      <c r="D115" s="19">
        <v>4</v>
      </c>
      <c r="E115" s="20"/>
      <c r="F115" s="21"/>
      <c r="G115" s="22"/>
      <c r="H115" s="22"/>
      <c r="I115" s="21"/>
      <c r="J115" s="22"/>
      <c r="K115" s="22"/>
      <c r="L115" s="23">
        <f t="shared" si="49"/>
        <v>0</v>
      </c>
      <c r="M115" s="22">
        <f t="shared" si="50"/>
        <v>0</v>
      </c>
      <c r="N115" s="24">
        <v>5</v>
      </c>
      <c r="O115" s="25">
        <v>1</v>
      </c>
      <c r="P115" s="25">
        <f t="shared" si="51"/>
        <v>0</v>
      </c>
      <c r="Q115" s="26"/>
      <c r="R115" s="26"/>
      <c r="S115" s="26"/>
      <c r="T115" s="27"/>
      <c r="U115" s="28">
        <f t="shared" si="52"/>
        <v>0</v>
      </c>
      <c r="V115" s="22"/>
      <c r="W115" s="22"/>
      <c r="X115" s="40"/>
      <c r="Y115" s="22"/>
      <c r="Z115" s="40"/>
      <c r="AA115" s="40"/>
      <c r="AB115" s="40"/>
      <c r="AC115" s="29" t="str">
        <f t="shared" si="53"/>
        <v/>
      </c>
      <c r="AD115" s="30" t="str">
        <f t="shared" si="54"/>
        <v/>
      </c>
      <c r="AE115" s="30" t="str">
        <f t="shared" si="55"/>
        <v/>
      </c>
      <c r="AF115" s="6">
        <f>+SUM(AD112:AD116)</f>
        <v>0</v>
      </c>
      <c r="AG115" s="6">
        <f>+SUM(AE111:AE116)</f>
        <v>0</v>
      </c>
      <c r="AH115" s="6"/>
    </row>
    <row r="116" spans="1:34" ht="20.25" customHeight="1" x14ac:dyDescent="0.3">
      <c r="A116" s="33">
        <f>+A115</f>
        <v>44097</v>
      </c>
      <c r="B116" s="34">
        <f t="shared" si="76"/>
        <v>39</v>
      </c>
      <c r="C116" s="63">
        <f t="shared" si="48"/>
        <v>44097</v>
      </c>
      <c r="D116" s="19">
        <v>5</v>
      </c>
      <c r="E116" s="20"/>
      <c r="F116" s="21"/>
      <c r="G116" s="22"/>
      <c r="H116" s="22"/>
      <c r="I116" s="21"/>
      <c r="J116" s="22"/>
      <c r="K116" s="22"/>
      <c r="L116" s="23">
        <f t="shared" si="49"/>
        <v>0</v>
      </c>
      <c r="M116" s="22">
        <f t="shared" si="50"/>
        <v>0</v>
      </c>
      <c r="N116" s="24">
        <v>5</v>
      </c>
      <c r="O116" s="25">
        <v>1</v>
      </c>
      <c r="P116" s="25">
        <f t="shared" si="51"/>
        <v>0</v>
      </c>
      <c r="Q116" s="26"/>
      <c r="R116" s="26"/>
      <c r="S116" s="26"/>
      <c r="T116" s="27"/>
      <c r="U116" s="28">
        <f t="shared" si="52"/>
        <v>0</v>
      </c>
      <c r="V116" s="22"/>
      <c r="W116" s="22"/>
      <c r="X116" s="40"/>
      <c r="Y116" s="22"/>
      <c r="Z116" s="40"/>
      <c r="AA116" s="40"/>
      <c r="AB116" s="40"/>
      <c r="AC116" s="29" t="str">
        <f t="shared" si="53"/>
        <v/>
      </c>
      <c r="AD116" s="30" t="str">
        <f t="shared" si="54"/>
        <v/>
      </c>
      <c r="AE116" s="30" t="str">
        <f t="shared" si="55"/>
        <v/>
      </c>
      <c r="AF116" s="7">
        <f>+COUNT(AD112:AD116)</f>
        <v>0</v>
      </c>
      <c r="AG116" s="7">
        <f>+COUNT(AE111:AE116)</f>
        <v>0</v>
      </c>
      <c r="AH116" s="6"/>
    </row>
    <row r="117" spans="1:34" ht="20.25" customHeight="1" x14ac:dyDescent="0.3">
      <c r="A117" s="17">
        <f>+A112+1</f>
        <v>44098</v>
      </c>
      <c r="B117" s="18">
        <f>WEEKNUM(A117,2)</f>
        <v>39</v>
      </c>
      <c r="C117" s="61">
        <f t="shared" si="48"/>
        <v>44098</v>
      </c>
      <c r="D117" s="19">
        <v>1</v>
      </c>
      <c r="E117" s="20"/>
      <c r="F117" s="21"/>
      <c r="G117" s="22"/>
      <c r="H117" s="22"/>
      <c r="I117" s="21"/>
      <c r="J117" s="22"/>
      <c r="K117" s="22"/>
      <c r="L117" s="23">
        <f t="shared" si="49"/>
        <v>0</v>
      </c>
      <c r="M117" s="22">
        <f t="shared" si="50"/>
        <v>0</v>
      </c>
      <c r="N117" s="24">
        <v>5</v>
      </c>
      <c r="O117" s="25">
        <v>1</v>
      </c>
      <c r="P117" s="25">
        <f t="shared" si="51"/>
        <v>0</v>
      </c>
      <c r="Q117" s="26"/>
      <c r="R117" s="26"/>
      <c r="S117" s="26"/>
      <c r="T117" s="27"/>
      <c r="U117" s="28">
        <f t="shared" si="52"/>
        <v>0</v>
      </c>
      <c r="V117" s="22">
        <f>SUM(U117:U121)</f>
        <v>0</v>
      </c>
      <c r="W117" s="84">
        <f>+Tabla1[[#This Row],[RESULTADO DEL DÍA]]+W112</f>
        <v>1269.5000000000005</v>
      </c>
      <c r="X117" s="22">
        <f>+X112+Tabla1[[#This Row],[Objetivo presupuestado]]</f>
        <v>1299</v>
      </c>
      <c r="Y117" s="22" t="str">
        <f t="shared" ref="Y117" si="77">IF(AF117=0,"0",10)</f>
        <v>0</v>
      </c>
      <c r="Z117" s="22" t="str">
        <f t="shared" ref="Z117" si="78">IF(AF117=0,"0",50)</f>
        <v>0</v>
      </c>
      <c r="AA117" s="27">
        <f>+IFERROR(AF120/(AG120*-1),AF120)</f>
        <v>0</v>
      </c>
      <c r="AB117" s="85" t="str">
        <f>+IFERROR(AF121/AF117,"0")</f>
        <v>0</v>
      </c>
      <c r="AC117" s="29" t="str">
        <f t="shared" si="53"/>
        <v/>
      </c>
      <c r="AD117" s="30" t="str">
        <f t="shared" si="54"/>
        <v/>
      </c>
      <c r="AE117" s="30" t="str">
        <f t="shared" si="55"/>
        <v/>
      </c>
      <c r="AF117" s="9">
        <f>+COUNTIF(AC117:AC121,"1")</f>
        <v>0</v>
      </c>
      <c r="AH117" s="6"/>
    </row>
    <row r="118" spans="1:34" ht="20.25" customHeight="1" x14ac:dyDescent="0.3">
      <c r="A118" s="31">
        <f>+A117</f>
        <v>44098</v>
      </c>
      <c r="B118" s="32">
        <f t="shared" ref="B118:B121" si="79">+B117</f>
        <v>39</v>
      </c>
      <c r="C118" s="62">
        <f t="shared" si="48"/>
        <v>44098</v>
      </c>
      <c r="D118" s="19">
        <v>2</v>
      </c>
      <c r="E118" s="20"/>
      <c r="F118" s="21"/>
      <c r="G118" s="22"/>
      <c r="H118" s="22"/>
      <c r="I118" s="21"/>
      <c r="J118" s="22"/>
      <c r="K118" s="22"/>
      <c r="L118" s="23">
        <f t="shared" si="49"/>
        <v>0</v>
      </c>
      <c r="M118" s="22">
        <f t="shared" si="50"/>
        <v>0</v>
      </c>
      <c r="N118" s="24">
        <v>5</v>
      </c>
      <c r="O118" s="25">
        <v>1</v>
      </c>
      <c r="P118" s="25">
        <f t="shared" si="51"/>
        <v>0</v>
      </c>
      <c r="Q118" s="26"/>
      <c r="R118" s="26"/>
      <c r="S118" s="26"/>
      <c r="T118" s="27"/>
      <c r="U118" s="28">
        <f t="shared" si="52"/>
        <v>0</v>
      </c>
      <c r="V118" s="22"/>
      <c r="W118" s="22"/>
      <c r="X118" s="40"/>
      <c r="Y118" s="22"/>
      <c r="Z118" s="40"/>
      <c r="AA118" s="83"/>
      <c r="AB118" s="83"/>
      <c r="AC118" s="29" t="str">
        <f t="shared" si="53"/>
        <v/>
      </c>
      <c r="AD118" s="30" t="str">
        <f t="shared" si="54"/>
        <v/>
      </c>
      <c r="AE118" s="30" t="str">
        <f t="shared" si="55"/>
        <v/>
      </c>
      <c r="AF118" s="2"/>
      <c r="AH118" s="6"/>
    </row>
    <row r="119" spans="1:34" ht="20.25" customHeight="1" x14ac:dyDescent="0.3">
      <c r="A119" s="31">
        <f>+A118</f>
        <v>44098</v>
      </c>
      <c r="B119" s="32">
        <f t="shared" si="79"/>
        <v>39</v>
      </c>
      <c r="C119" s="62">
        <f t="shared" si="48"/>
        <v>44098</v>
      </c>
      <c r="D119" s="19">
        <v>3</v>
      </c>
      <c r="E119" s="20"/>
      <c r="F119" s="21"/>
      <c r="G119" s="22"/>
      <c r="H119" s="22"/>
      <c r="I119" s="21"/>
      <c r="J119" s="22"/>
      <c r="K119" s="22"/>
      <c r="L119" s="23">
        <f t="shared" si="49"/>
        <v>0</v>
      </c>
      <c r="M119" s="22">
        <f t="shared" si="50"/>
        <v>0</v>
      </c>
      <c r="N119" s="24">
        <v>5</v>
      </c>
      <c r="O119" s="25">
        <v>1</v>
      </c>
      <c r="P119" s="25">
        <f t="shared" si="51"/>
        <v>0</v>
      </c>
      <c r="Q119" s="26"/>
      <c r="R119" s="26"/>
      <c r="S119" s="26"/>
      <c r="T119" s="27"/>
      <c r="U119" s="28">
        <f t="shared" si="52"/>
        <v>0</v>
      </c>
      <c r="V119" s="22"/>
      <c r="W119" s="22"/>
      <c r="X119" s="40"/>
      <c r="Y119" s="22"/>
      <c r="Z119" s="40"/>
      <c r="AA119" s="40"/>
      <c r="AB119" s="40"/>
      <c r="AC119" s="29" t="str">
        <f t="shared" si="53"/>
        <v/>
      </c>
      <c r="AD119" s="30" t="str">
        <f t="shared" si="54"/>
        <v/>
      </c>
      <c r="AE119" s="30" t="str">
        <f t="shared" si="55"/>
        <v/>
      </c>
      <c r="AF119" s="2"/>
      <c r="AH119" s="6"/>
    </row>
    <row r="120" spans="1:34" ht="20.25" customHeight="1" x14ac:dyDescent="0.3">
      <c r="A120" s="31">
        <f>+A119</f>
        <v>44098</v>
      </c>
      <c r="B120" s="32">
        <f t="shared" si="79"/>
        <v>39</v>
      </c>
      <c r="C120" s="62">
        <f t="shared" si="48"/>
        <v>44098</v>
      </c>
      <c r="D120" s="19">
        <v>4</v>
      </c>
      <c r="E120" s="20"/>
      <c r="F120" s="21"/>
      <c r="G120" s="22"/>
      <c r="H120" s="22"/>
      <c r="I120" s="21"/>
      <c r="J120" s="22"/>
      <c r="K120" s="22"/>
      <c r="L120" s="23">
        <f t="shared" si="49"/>
        <v>0</v>
      </c>
      <c r="M120" s="22">
        <f t="shared" si="50"/>
        <v>0</v>
      </c>
      <c r="N120" s="24">
        <v>5</v>
      </c>
      <c r="O120" s="25">
        <v>1</v>
      </c>
      <c r="P120" s="25">
        <f t="shared" si="51"/>
        <v>0</v>
      </c>
      <c r="Q120" s="26"/>
      <c r="R120" s="26"/>
      <c r="S120" s="26"/>
      <c r="T120" s="27"/>
      <c r="U120" s="28">
        <f t="shared" si="52"/>
        <v>0</v>
      </c>
      <c r="V120" s="22"/>
      <c r="W120" s="22"/>
      <c r="X120" s="40"/>
      <c r="Y120" s="22"/>
      <c r="Z120" s="40"/>
      <c r="AA120" s="40"/>
      <c r="AB120" s="40"/>
      <c r="AC120" s="29" t="str">
        <f t="shared" si="53"/>
        <v/>
      </c>
      <c r="AD120" s="30" t="str">
        <f t="shared" si="54"/>
        <v/>
      </c>
      <c r="AE120" s="30" t="str">
        <f t="shared" si="55"/>
        <v/>
      </c>
      <c r="AF120" s="6">
        <f>+SUM(AD117:AD121)</f>
        <v>0</v>
      </c>
      <c r="AG120" s="6">
        <f>+SUM(AE116:AE121)</f>
        <v>0</v>
      </c>
      <c r="AH120" s="6"/>
    </row>
    <row r="121" spans="1:34" ht="20.25" customHeight="1" x14ac:dyDescent="0.3">
      <c r="A121" s="33">
        <f>+A120</f>
        <v>44098</v>
      </c>
      <c r="B121" s="34">
        <f t="shared" si="79"/>
        <v>39</v>
      </c>
      <c r="C121" s="63">
        <f t="shared" si="48"/>
        <v>44098</v>
      </c>
      <c r="D121" s="19">
        <v>5</v>
      </c>
      <c r="E121" s="20"/>
      <c r="F121" s="21"/>
      <c r="G121" s="22"/>
      <c r="H121" s="22"/>
      <c r="I121" s="21"/>
      <c r="J121" s="22"/>
      <c r="K121" s="22"/>
      <c r="L121" s="23">
        <f t="shared" si="49"/>
        <v>0</v>
      </c>
      <c r="M121" s="22">
        <f t="shared" si="50"/>
        <v>0</v>
      </c>
      <c r="N121" s="24">
        <v>5</v>
      </c>
      <c r="O121" s="25">
        <v>1</v>
      </c>
      <c r="P121" s="25">
        <f t="shared" si="51"/>
        <v>0</v>
      </c>
      <c r="Q121" s="26"/>
      <c r="R121" s="26"/>
      <c r="S121" s="26"/>
      <c r="T121" s="27"/>
      <c r="U121" s="28">
        <f t="shared" si="52"/>
        <v>0</v>
      </c>
      <c r="V121" s="22"/>
      <c r="W121" s="22"/>
      <c r="X121" s="40"/>
      <c r="Y121" s="22"/>
      <c r="Z121" s="40"/>
      <c r="AA121" s="40"/>
      <c r="AB121" s="40"/>
      <c r="AC121" s="29" t="str">
        <f t="shared" si="53"/>
        <v/>
      </c>
      <c r="AD121" s="30" t="str">
        <f t="shared" si="54"/>
        <v/>
      </c>
      <c r="AE121" s="30" t="str">
        <f t="shared" si="55"/>
        <v/>
      </c>
      <c r="AF121" s="7">
        <f>+COUNT(AD117:AD121)</f>
        <v>0</v>
      </c>
      <c r="AG121" s="7">
        <f>+COUNT(AE116:AE121)</f>
        <v>0</v>
      </c>
      <c r="AH121" s="6"/>
    </row>
    <row r="122" spans="1:34" ht="20.25" customHeight="1" x14ac:dyDescent="0.3">
      <c r="A122" s="17">
        <f>+A117+1</f>
        <v>44099</v>
      </c>
      <c r="B122" s="18">
        <f>WEEKNUM(A122,2)</f>
        <v>39</v>
      </c>
      <c r="C122" s="61">
        <f t="shared" si="48"/>
        <v>44099</v>
      </c>
      <c r="D122" s="19">
        <v>1</v>
      </c>
      <c r="E122" s="20"/>
      <c r="F122" s="21"/>
      <c r="G122" s="22"/>
      <c r="H122" s="22"/>
      <c r="I122" s="21"/>
      <c r="J122" s="22"/>
      <c r="K122" s="22"/>
      <c r="L122" s="23">
        <f t="shared" si="49"/>
        <v>0</v>
      </c>
      <c r="M122" s="22">
        <f t="shared" si="50"/>
        <v>0</v>
      </c>
      <c r="N122" s="24">
        <v>5</v>
      </c>
      <c r="O122" s="25">
        <v>1</v>
      </c>
      <c r="P122" s="25">
        <f t="shared" si="51"/>
        <v>0</v>
      </c>
      <c r="Q122" s="26"/>
      <c r="R122" s="26"/>
      <c r="S122" s="26"/>
      <c r="T122" s="27"/>
      <c r="U122" s="28">
        <f t="shared" si="52"/>
        <v>0</v>
      </c>
      <c r="V122" s="22">
        <f>SUM(U122:U126)</f>
        <v>0</v>
      </c>
      <c r="W122" s="84">
        <f>+Tabla1[[#This Row],[RESULTADO DEL DÍA]]+W117</f>
        <v>1269.5000000000005</v>
      </c>
      <c r="X122" s="22">
        <f>+X117+Tabla1[[#This Row],[Objetivo presupuestado]]</f>
        <v>1299</v>
      </c>
      <c r="Y122" s="22" t="str">
        <f t="shared" ref="Y122" si="80">IF(AF122=0,"0",10)</f>
        <v>0</v>
      </c>
      <c r="Z122" s="22" t="str">
        <f t="shared" ref="Z122" si="81">IF(AF122=0,"0",50)</f>
        <v>0</v>
      </c>
      <c r="AA122" s="27">
        <f>+IFERROR(AF125/(AG125*-1),AF125)</f>
        <v>0</v>
      </c>
      <c r="AB122" s="85" t="str">
        <f>+IFERROR(AF126/AF122,"0")</f>
        <v>0</v>
      </c>
      <c r="AC122" s="29" t="str">
        <f t="shared" si="53"/>
        <v/>
      </c>
      <c r="AD122" s="30" t="str">
        <f t="shared" si="54"/>
        <v/>
      </c>
      <c r="AE122" s="30" t="str">
        <f t="shared" si="55"/>
        <v/>
      </c>
      <c r="AF122" s="9">
        <f>+COUNTIF(AC122:AC126,"1")</f>
        <v>0</v>
      </c>
      <c r="AH122" s="6"/>
    </row>
    <row r="123" spans="1:34" ht="20.25" customHeight="1" x14ac:dyDescent="0.3">
      <c r="A123" s="31">
        <f>+A122</f>
        <v>44099</v>
      </c>
      <c r="B123" s="32">
        <f t="shared" ref="B123:B126" si="82">+B122</f>
        <v>39</v>
      </c>
      <c r="C123" s="62">
        <f t="shared" si="48"/>
        <v>44099</v>
      </c>
      <c r="D123" s="19">
        <v>2</v>
      </c>
      <c r="E123" s="20"/>
      <c r="F123" s="21"/>
      <c r="G123" s="22"/>
      <c r="H123" s="22"/>
      <c r="I123" s="21"/>
      <c r="J123" s="22"/>
      <c r="K123" s="22"/>
      <c r="L123" s="23">
        <f t="shared" si="49"/>
        <v>0</v>
      </c>
      <c r="M123" s="22">
        <f t="shared" si="50"/>
        <v>0</v>
      </c>
      <c r="N123" s="24">
        <v>5</v>
      </c>
      <c r="O123" s="25">
        <v>1</v>
      </c>
      <c r="P123" s="25">
        <f t="shared" si="51"/>
        <v>0</v>
      </c>
      <c r="Q123" s="26"/>
      <c r="R123" s="26"/>
      <c r="S123" s="26"/>
      <c r="T123" s="27"/>
      <c r="U123" s="28">
        <f t="shared" si="52"/>
        <v>0</v>
      </c>
      <c r="V123" s="22"/>
      <c r="W123" s="22"/>
      <c r="X123" s="40"/>
      <c r="Y123" s="22"/>
      <c r="Z123" s="40"/>
      <c r="AA123" s="83"/>
      <c r="AB123" s="83"/>
      <c r="AC123" s="29" t="str">
        <f t="shared" si="53"/>
        <v/>
      </c>
      <c r="AD123" s="30" t="str">
        <f t="shared" si="54"/>
        <v/>
      </c>
      <c r="AE123" s="30" t="str">
        <f t="shared" si="55"/>
        <v/>
      </c>
      <c r="AF123" s="2"/>
      <c r="AH123" s="6"/>
    </row>
    <row r="124" spans="1:34" ht="20.25" customHeight="1" x14ac:dyDescent="0.3">
      <c r="A124" s="31">
        <f>+A123</f>
        <v>44099</v>
      </c>
      <c r="B124" s="32">
        <f t="shared" si="82"/>
        <v>39</v>
      </c>
      <c r="C124" s="62">
        <f t="shared" si="48"/>
        <v>44099</v>
      </c>
      <c r="D124" s="19">
        <v>3</v>
      </c>
      <c r="E124" s="20"/>
      <c r="F124" s="21"/>
      <c r="G124" s="22"/>
      <c r="H124" s="22"/>
      <c r="I124" s="21"/>
      <c r="J124" s="22"/>
      <c r="K124" s="22"/>
      <c r="L124" s="23">
        <f t="shared" si="49"/>
        <v>0</v>
      </c>
      <c r="M124" s="22">
        <f t="shared" si="50"/>
        <v>0</v>
      </c>
      <c r="N124" s="24">
        <v>5</v>
      </c>
      <c r="O124" s="25">
        <v>1</v>
      </c>
      <c r="P124" s="25">
        <f t="shared" si="51"/>
        <v>0</v>
      </c>
      <c r="Q124" s="26"/>
      <c r="R124" s="26"/>
      <c r="S124" s="26"/>
      <c r="T124" s="27"/>
      <c r="U124" s="28">
        <f t="shared" si="52"/>
        <v>0</v>
      </c>
      <c r="V124" s="22"/>
      <c r="W124" s="22"/>
      <c r="X124" s="40"/>
      <c r="Y124" s="22"/>
      <c r="Z124" s="40"/>
      <c r="AA124" s="40"/>
      <c r="AB124" s="40"/>
      <c r="AC124" s="29" t="str">
        <f t="shared" si="53"/>
        <v/>
      </c>
      <c r="AD124" s="30" t="str">
        <f t="shared" si="54"/>
        <v/>
      </c>
      <c r="AE124" s="30" t="str">
        <f t="shared" si="55"/>
        <v/>
      </c>
      <c r="AF124" s="2"/>
      <c r="AH124" s="6"/>
    </row>
    <row r="125" spans="1:34" ht="20.25" customHeight="1" x14ac:dyDescent="0.3">
      <c r="A125" s="31">
        <f>+A124</f>
        <v>44099</v>
      </c>
      <c r="B125" s="32">
        <f t="shared" si="82"/>
        <v>39</v>
      </c>
      <c r="C125" s="62">
        <f t="shared" si="48"/>
        <v>44099</v>
      </c>
      <c r="D125" s="19">
        <v>4</v>
      </c>
      <c r="E125" s="20"/>
      <c r="F125" s="21"/>
      <c r="G125" s="22"/>
      <c r="H125" s="22"/>
      <c r="I125" s="21"/>
      <c r="J125" s="22"/>
      <c r="K125" s="22"/>
      <c r="L125" s="23">
        <f t="shared" si="49"/>
        <v>0</v>
      </c>
      <c r="M125" s="22">
        <f t="shared" si="50"/>
        <v>0</v>
      </c>
      <c r="N125" s="24">
        <v>5</v>
      </c>
      <c r="O125" s="25">
        <v>1</v>
      </c>
      <c r="P125" s="25">
        <f t="shared" si="51"/>
        <v>0</v>
      </c>
      <c r="Q125" s="26"/>
      <c r="R125" s="26"/>
      <c r="S125" s="26"/>
      <c r="T125" s="27"/>
      <c r="U125" s="28">
        <f t="shared" si="52"/>
        <v>0</v>
      </c>
      <c r="V125" s="22"/>
      <c r="W125" s="22"/>
      <c r="X125" s="40"/>
      <c r="Y125" s="22"/>
      <c r="Z125" s="40"/>
      <c r="AA125" s="40"/>
      <c r="AB125" s="40"/>
      <c r="AC125" s="29" t="str">
        <f t="shared" si="53"/>
        <v/>
      </c>
      <c r="AD125" s="30" t="str">
        <f t="shared" si="54"/>
        <v/>
      </c>
      <c r="AE125" s="30" t="str">
        <f t="shared" si="55"/>
        <v/>
      </c>
      <c r="AF125" s="6">
        <f>+SUM(AD122:AD126)</f>
        <v>0</v>
      </c>
      <c r="AG125" s="6">
        <f>+SUM(AE121:AE126)</f>
        <v>0</v>
      </c>
      <c r="AH125" s="6"/>
    </row>
    <row r="126" spans="1:34" ht="20.25" customHeight="1" x14ac:dyDescent="0.3">
      <c r="A126" s="33">
        <f>+A125</f>
        <v>44099</v>
      </c>
      <c r="B126" s="34">
        <f t="shared" si="82"/>
        <v>39</v>
      </c>
      <c r="C126" s="63">
        <f t="shared" si="48"/>
        <v>44099</v>
      </c>
      <c r="D126" s="19">
        <v>5</v>
      </c>
      <c r="E126" s="20"/>
      <c r="F126" s="21"/>
      <c r="G126" s="22"/>
      <c r="H126" s="22"/>
      <c r="I126" s="21"/>
      <c r="J126" s="22"/>
      <c r="K126" s="22"/>
      <c r="L126" s="23">
        <f t="shared" si="49"/>
        <v>0</v>
      </c>
      <c r="M126" s="22">
        <f t="shared" si="50"/>
        <v>0</v>
      </c>
      <c r="N126" s="24">
        <v>5</v>
      </c>
      <c r="O126" s="25">
        <v>1</v>
      </c>
      <c r="P126" s="25">
        <f t="shared" si="51"/>
        <v>0</v>
      </c>
      <c r="Q126" s="26"/>
      <c r="R126" s="26"/>
      <c r="S126" s="26"/>
      <c r="T126" s="27"/>
      <c r="U126" s="28">
        <f t="shared" si="52"/>
        <v>0</v>
      </c>
      <c r="V126" s="22"/>
      <c r="W126" s="22"/>
      <c r="X126" s="40"/>
      <c r="Y126" s="22"/>
      <c r="Z126" s="40"/>
      <c r="AA126" s="40"/>
      <c r="AB126" s="40"/>
      <c r="AC126" s="29" t="str">
        <f t="shared" si="53"/>
        <v/>
      </c>
      <c r="AD126" s="30" t="str">
        <f t="shared" si="54"/>
        <v/>
      </c>
      <c r="AE126" s="30" t="str">
        <f t="shared" si="55"/>
        <v/>
      </c>
      <c r="AF126" s="7">
        <f>+COUNT(AD122:AD126)</f>
        <v>0</v>
      </c>
      <c r="AG126" s="7">
        <f>+COUNT(AE121:AE126)</f>
        <v>0</v>
      </c>
      <c r="AH126" s="6"/>
    </row>
    <row r="127" spans="1:34" ht="20.25" customHeight="1" x14ac:dyDescent="0.3">
      <c r="A127" s="17">
        <f>+A122+1</f>
        <v>44100</v>
      </c>
      <c r="B127" s="18">
        <f>WEEKNUM(A127,2)</f>
        <v>39</v>
      </c>
      <c r="C127" s="61">
        <f t="shared" si="48"/>
        <v>44100</v>
      </c>
      <c r="D127" s="19">
        <v>1</v>
      </c>
      <c r="E127" s="20"/>
      <c r="F127" s="21"/>
      <c r="G127" s="22"/>
      <c r="H127" s="22"/>
      <c r="I127" s="21"/>
      <c r="J127" s="22"/>
      <c r="K127" s="22"/>
      <c r="L127" s="23">
        <f t="shared" si="49"/>
        <v>0</v>
      </c>
      <c r="M127" s="22">
        <f t="shared" si="50"/>
        <v>0</v>
      </c>
      <c r="N127" s="24">
        <v>5</v>
      </c>
      <c r="O127" s="25">
        <v>1</v>
      </c>
      <c r="P127" s="25">
        <f t="shared" si="51"/>
        <v>0</v>
      </c>
      <c r="Q127" s="26"/>
      <c r="R127" s="26"/>
      <c r="S127" s="26"/>
      <c r="T127" s="27"/>
      <c r="U127" s="28">
        <f t="shared" si="52"/>
        <v>0</v>
      </c>
      <c r="V127" s="22">
        <f>SUM(U127:U131)</f>
        <v>0</v>
      </c>
      <c r="W127" s="84">
        <f>+Tabla1[[#This Row],[RESULTADO DEL DÍA]]+W122</f>
        <v>1269.5000000000005</v>
      </c>
      <c r="X127" s="22">
        <f>+X122+Tabla1[[#This Row],[Objetivo presupuestado]]</f>
        <v>1299</v>
      </c>
      <c r="Y127" s="22" t="str">
        <f t="shared" ref="Y127" si="83">IF(AF127=0,"0",10)</f>
        <v>0</v>
      </c>
      <c r="Z127" s="22" t="str">
        <f t="shared" ref="Z127" si="84">IF(AF127=0,"0",50)</f>
        <v>0</v>
      </c>
      <c r="AA127" s="27">
        <f>+IFERROR(AF130/(AG130*-1),AF130)</f>
        <v>0</v>
      </c>
      <c r="AB127" s="85" t="str">
        <f>+IFERROR(AF131/AF127,"0")</f>
        <v>0</v>
      </c>
      <c r="AC127" s="29" t="str">
        <f t="shared" si="53"/>
        <v/>
      </c>
      <c r="AD127" s="30" t="str">
        <f t="shared" si="54"/>
        <v/>
      </c>
      <c r="AE127" s="30" t="str">
        <f t="shared" si="55"/>
        <v/>
      </c>
      <c r="AF127" s="9">
        <f>+COUNTIF(AC127:AC131,"1")</f>
        <v>0</v>
      </c>
      <c r="AH127" s="6"/>
    </row>
    <row r="128" spans="1:34" ht="20.25" customHeight="1" x14ac:dyDescent="0.3">
      <c r="A128" s="31">
        <f>+A127</f>
        <v>44100</v>
      </c>
      <c r="B128" s="32">
        <f t="shared" ref="B128:B131" si="85">+B127</f>
        <v>39</v>
      </c>
      <c r="C128" s="62">
        <f t="shared" si="48"/>
        <v>44100</v>
      </c>
      <c r="D128" s="19">
        <v>2</v>
      </c>
      <c r="E128" s="20"/>
      <c r="F128" s="21"/>
      <c r="G128" s="22"/>
      <c r="H128" s="22"/>
      <c r="I128" s="21"/>
      <c r="J128" s="22"/>
      <c r="K128" s="22"/>
      <c r="L128" s="23">
        <f t="shared" si="49"/>
        <v>0</v>
      </c>
      <c r="M128" s="22">
        <f t="shared" si="50"/>
        <v>0</v>
      </c>
      <c r="N128" s="24">
        <v>5</v>
      </c>
      <c r="O128" s="25">
        <v>1</v>
      </c>
      <c r="P128" s="25">
        <f t="shared" si="51"/>
        <v>0</v>
      </c>
      <c r="Q128" s="26"/>
      <c r="R128" s="26"/>
      <c r="S128" s="26"/>
      <c r="T128" s="27"/>
      <c r="U128" s="28">
        <f t="shared" si="52"/>
        <v>0</v>
      </c>
      <c r="V128" s="22"/>
      <c r="W128" s="22"/>
      <c r="X128" s="40"/>
      <c r="Y128" s="22"/>
      <c r="Z128" s="40"/>
      <c r="AA128" s="83"/>
      <c r="AB128" s="83"/>
      <c r="AC128" s="29" t="str">
        <f t="shared" si="53"/>
        <v/>
      </c>
      <c r="AD128" s="30" t="str">
        <f t="shared" si="54"/>
        <v/>
      </c>
      <c r="AE128" s="30" t="str">
        <f t="shared" si="55"/>
        <v/>
      </c>
      <c r="AF128" s="2"/>
      <c r="AH128" s="6"/>
    </row>
    <row r="129" spans="1:34" ht="20.25" customHeight="1" x14ac:dyDescent="0.3">
      <c r="A129" s="31">
        <f>+A128</f>
        <v>44100</v>
      </c>
      <c r="B129" s="32">
        <f t="shared" si="85"/>
        <v>39</v>
      </c>
      <c r="C129" s="62">
        <f t="shared" si="48"/>
        <v>44100</v>
      </c>
      <c r="D129" s="19">
        <v>3</v>
      </c>
      <c r="E129" s="20"/>
      <c r="F129" s="21"/>
      <c r="G129" s="22"/>
      <c r="H129" s="22"/>
      <c r="I129" s="21"/>
      <c r="J129" s="22"/>
      <c r="K129" s="22"/>
      <c r="L129" s="23">
        <f t="shared" si="49"/>
        <v>0</v>
      </c>
      <c r="M129" s="22">
        <f t="shared" si="50"/>
        <v>0</v>
      </c>
      <c r="N129" s="24">
        <v>5</v>
      </c>
      <c r="O129" s="25">
        <v>1</v>
      </c>
      <c r="P129" s="25">
        <f t="shared" si="51"/>
        <v>0</v>
      </c>
      <c r="Q129" s="26"/>
      <c r="R129" s="26"/>
      <c r="S129" s="26"/>
      <c r="T129" s="27"/>
      <c r="U129" s="28">
        <f t="shared" si="52"/>
        <v>0</v>
      </c>
      <c r="V129" s="22"/>
      <c r="W129" s="22"/>
      <c r="X129" s="40"/>
      <c r="Y129" s="22"/>
      <c r="Z129" s="40"/>
      <c r="AA129" s="40"/>
      <c r="AB129" s="40"/>
      <c r="AC129" s="29" t="str">
        <f t="shared" si="53"/>
        <v/>
      </c>
      <c r="AD129" s="30" t="str">
        <f t="shared" si="54"/>
        <v/>
      </c>
      <c r="AE129" s="30" t="str">
        <f t="shared" si="55"/>
        <v/>
      </c>
      <c r="AF129" s="2"/>
      <c r="AH129" s="6"/>
    </row>
    <row r="130" spans="1:34" ht="20.25" customHeight="1" x14ac:dyDescent="0.3">
      <c r="A130" s="31">
        <f>+A129</f>
        <v>44100</v>
      </c>
      <c r="B130" s="32">
        <f t="shared" si="85"/>
        <v>39</v>
      </c>
      <c r="C130" s="62">
        <f t="shared" si="48"/>
        <v>44100</v>
      </c>
      <c r="D130" s="19">
        <v>4</v>
      </c>
      <c r="E130" s="20"/>
      <c r="F130" s="21"/>
      <c r="G130" s="22"/>
      <c r="H130" s="22"/>
      <c r="I130" s="21"/>
      <c r="J130" s="22"/>
      <c r="K130" s="22"/>
      <c r="L130" s="23">
        <f t="shared" si="49"/>
        <v>0</v>
      </c>
      <c r="M130" s="22">
        <f t="shared" si="50"/>
        <v>0</v>
      </c>
      <c r="N130" s="24">
        <v>5</v>
      </c>
      <c r="O130" s="25">
        <v>1</v>
      </c>
      <c r="P130" s="25">
        <f t="shared" si="51"/>
        <v>0</v>
      </c>
      <c r="Q130" s="26"/>
      <c r="R130" s="26"/>
      <c r="S130" s="26"/>
      <c r="T130" s="27"/>
      <c r="U130" s="28">
        <f t="shared" si="52"/>
        <v>0</v>
      </c>
      <c r="V130" s="22"/>
      <c r="W130" s="22"/>
      <c r="X130" s="40"/>
      <c r="Y130" s="22"/>
      <c r="Z130" s="40"/>
      <c r="AA130" s="40"/>
      <c r="AB130" s="40"/>
      <c r="AC130" s="29" t="str">
        <f t="shared" si="53"/>
        <v/>
      </c>
      <c r="AD130" s="30" t="str">
        <f t="shared" si="54"/>
        <v/>
      </c>
      <c r="AE130" s="30" t="str">
        <f t="shared" si="55"/>
        <v/>
      </c>
      <c r="AF130" s="6">
        <f>+SUM(AD127:AD131)</f>
        <v>0</v>
      </c>
      <c r="AG130" s="6">
        <f>+SUM(AE126:AE131)</f>
        <v>0</v>
      </c>
      <c r="AH130" s="6"/>
    </row>
    <row r="131" spans="1:34" ht="20.25" customHeight="1" x14ac:dyDescent="0.3">
      <c r="A131" s="33">
        <f>+A130</f>
        <v>44100</v>
      </c>
      <c r="B131" s="34">
        <f t="shared" si="85"/>
        <v>39</v>
      </c>
      <c r="C131" s="63">
        <f t="shared" si="48"/>
        <v>44100</v>
      </c>
      <c r="D131" s="19">
        <v>5</v>
      </c>
      <c r="E131" s="20"/>
      <c r="F131" s="21"/>
      <c r="G131" s="22"/>
      <c r="H131" s="22"/>
      <c r="I131" s="21"/>
      <c r="J131" s="22"/>
      <c r="K131" s="22"/>
      <c r="L131" s="23">
        <f t="shared" si="49"/>
        <v>0</v>
      </c>
      <c r="M131" s="22">
        <f t="shared" si="50"/>
        <v>0</v>
      </c>
      <c r="N131" s="24">
        <v>5</v>
      </c>
      <c r="O131" s="25">
        <v>1</v>
      </c>
      <c r="P131" s="25">
        <f t="shared" si="51"/>
        <v>0</v>
      </c>
      <c r="Q131" s="26"/>
      <c r="R131" s="26"/>
      <c r="S131" s="26"/>
      <c r="T131" s="27"/>
      <c r="U131" s="28">
        <f t="shared" si="52"/>
        <v>0</v>
      </c>
      <c r="V131" s="22"/>
      <c r="W131" s="22"/>
      <c r="X131" s="40"/>
      <c r="Y131" s="22"/>
      <c r="Z131" s="40"/>
      <c r="AA131" s="40"/>
      <c r="AB131" s="40"/>
      <c r="AC131" s="29" t="str">
        <f t="shared" si="53"/>
        <v/>
      </c>
      <c r="AD131" s="30" t="str">
        <f t="shared" si="54"/>
        <v/>
      </c>
      <c r="AE131" s="30" t="str">
        <f t="shared" si="55"/>
        <v/>
      </c>
      <c r="AF131" s="7">
        <f>+COUNT(AD127:AD131)</f>
        <v>0</v>
      </c>
      <c r="AG131" s="7">
        <f>+COUNT(AE126:AE131)</f>
        <v>0</v>
      </c>
      <c r="AH131" s="6"/>
    </row>
    <row r="132" spans="1:34" ht="20.25" customHeight="1" x14ac:dyDescent="0.3">
      <c r="A132" s="17">
        <f>+A127+1</f>
        <v>44101</v>
      </c>
      <c r="B132" s="18">
        <f>WEEKNUM(A132,2)</f>
        <v>39</v>
      </c>
      <c r="C132" s="61">
        <f t="shared" si="48"/>
        <v>44101</v>
      </c>
      <c r="D132" s="19">
        <v>1</v>
      </c>
      <c r="E132" s="20"/>
      <c r="F132" s="21"/>
      <c r="G132" s="22"/>
      <c r="H132" s="22"/>
      <c r="I132" s="21"/>
      <c r="J132" s="22"/>
      <c r="K132" s="22"/>
      <c r="L132" s="23">
        <f t="shared" si="49"/>
        <v>0</v>
      </c>
      <c r="M132" s="22">
        <f t="shared" si="50"/>
        <v>0</v>
      </c>
      <c r="N132" s="24">
        <v>5</v>
      </c>
      <c r="O132" s="25">
        <v>1</v>
      </c>
      <c r="P132" s="25">
        <f t="shared" si="51"/>
        <v>0</v>
      </c>
      <c r="Q132" s="26"/>
      <c r="R132" s="26"/>
      <c r="S132" s="26"/>
      <c r="T132" s="27"/>
      <c r="U132" s="28">
        <f t="shared" si="52"/>
        <v>0</v>
      </c>
      <c r="V132" s="22">
        <f>SUM(U132:U136)</f>
        <v>0</v>
      </c>
      <c r="W132" s="84">
        <f>+Tabla1[[#This Row],[RESULTADO DEL DÍA]]+W127</f>
        <v>1269.5000000000005</v>
      </c>
      <c r="X132" s="22">
        <f>+X127+Tabla1[[#This Row],[Objetivo presupuestado]]</f>
        <v>1299</v>
      </c>
      <c r="Y132" s="22" t="str">
        <f t="shared" ref="Y132" si="86">IF(AF132=0,"0",10)</f>
        <v>0</v>
      </c>
      <c r="Z132" s="22" t="str">
        <f t="shared" ref="Z132" si="87">IF(AF132=0,"0",50)</f>
        <v>0</v>
      </c>
      <c r="AA132" s="27">
        <f>+IFERROR(AF135/(AG135*-1),AF135)</f>
        <v>0</v>
      </c>
      <c r="AB132" s="85" t="str">
        <f>+IFERROR(AF136/AF132,"0")</f>
        <v>0</v>
      </c>
      <c r="AC132" s="29" t="str">
        <f t="shared" si="53"/>
        <v/>
      </c>
      <c r="AD132" s="30" t="str">
        <f t="shared" si="54"/>
        <v/>
      </c>
      <c r="AE132" s="30" t="str">
        <f t="shared" si="55"/>
        <v/>
      </c>
      <c r="AF132" s="9">
        <f>+COUNTIF(AC132:AC136,"1")</f>
        <v>0</v>
      </c>
      <c r="AH132" s="6"/>
    </row>
    <row r="133" spans="1:34" ht="20.25" customHeight="1" x14ac:dyDescent="0.3">
      <c r="A133" s="31">
        <f>+A132</f>
        <v>44101</v>
      </c>
      <c r="B133" s="32">
        <f t="shared" ref="B133:B136" si="88">+B132</f>
        <v>39</v>
      </c>
      <c r="C133" s="62">
        <f t="shared" si="48"/>
        <v>44101</v>
      </c>
      <c r="D133" s="19">
        <v>2</v>
      </c>
      <c r="E133" s="20"/>
      <c r="F133" s="21"/>
      <c r="G133" s="22"/>
      <c r="H133" s="22"/>
      <c r="I133" s="21"/>
      <c r="J133" s="22"/>
      <c r="K133" s="22"/>
      <c r="L133" s="23">
        <f t="shared" si="49"/>
        <v>0</v>
      </c>
      <c r="M133" s="22">
        <f t="shared" si="50"/>
        <v>0</v>
      </c>
      <c r="N133" s="24">
        <v>5</v>
      </c>
      <c r="O133" s="25">
        <v>1</v>
      </c>
      <c r="P133" s="25">
        <f t="shared" si="51"/>
        <v>0</v>
      </c>
      <c r="Q133" s="26"/>
      <c r="R133" s="26"/>
      <c r="S133" s="26"/>
      <c r="T133" s="27"/>
      <c r="U133" s="28">
        <f t="shared" si="52"/>
        <v>0</v>
      </c>
      <c r="V133" s="22"/>
      <c r="W133" s="22"/>
      <c r="X133" s="40"/>
      <c r="Y133" s="22"/>
      <c r="Z133" s="40"/>
      <c r="AA133" s="83"/>
      <c r="AB133" s="83"/>
      <c r="AC133" s="29" t="str">
        <f t="shared" si="53"/>
        <v/>
      </c>
      <c r="AD133" s="30" t="str">
        <f t="shared" si="54"/>
        <v/>
      </c>
      <c r="AE133" s="30" t="str">
        <f t="shared" si="55"/>
        <v/>
      </c>
      <c r="AF133" s="2"/>
      <c r="AH133" s="6"/>
    </row>
    <row r="134" spans="1:34" ht="20.25" customHeight="1" x14ac:dyDescent="0.3">
      <c r="A134" s="31">
        <f>+A133</f>
        <v>44101</v>
      </c>
      <c r="B134" s="32">
        <f t="shared" si="88"/>
        <v>39</v>
      </c>
      <c r="C134" s="62">
        <f t="shared" si="48"/>
        <v>44101</v>
      </c>
      <c r="D134" s="19">
        <v>3</v>
      </c>
      <c r="E134" s="20"/>
      <c r="F134" s="21"/>
      <c r="G134" s="22"/>
      <c r="H134" s="22"/>
      <c r="I134" s="21"/>
      <c r="J134" s="22"/>
      <c r="K134" s="22"/>
      <c r="L134" s="23">
        <f t="shared" si="49"/>
        <v>0</v>
      </c>
      <c r="M134" s="22">
        <f t="shared" si="50"/>
        <v>0</v>
      </c>
      <c r="N134" s="24">
        <v>5</v>
      </c>
      <c r="O134" s="25">
        <v>1</v>
      </c>
      <c r="P134" s="25">
        <f t="shared" si="51"/>
        <v>0</v>
      </c>
      <c r="Q134" s="26"/>
      <c r="R134" s="26"/>
      <c r="S134" s="26"/>
      <c r="T134" s="27"/>
      <c r="U134" s="28">
        <f t="shared" si="52"/>
        <v>0</v>
      </c>
      <c r="V134" s="22"/>
      <c r="W134" s="22"/>
      <c r="X134" s="40"/>
      <c r="Y134" s="22"/>
      <c r="Z134" s="40"/>
      <c r="AA134" s="40"/>
      <c r="AB134" s="40"/>
      <c r="AC134" s="29" t="str">
        <f t="shared" si="53"/>
        <v/>
      </c>
      <c r="AD134" s="30" t="str">
        <f t="shared" si="54"/>
        <v/>
      </c>
      <c r="AE134" s="30" t="str">
        <f t="shared" si="55"/>
        <v/>
      </c>
      <c r="AF134" s="2"/>
      <c r="AH134" s="6"/>
    </row>
    <row r="135" spans="1:34" ht="20.25" customHeight="1" x14ac:dyDescent="0.3">
      <c r="A135" s="31">
        <f>+A134</f>
        <v>44101</v>
      </c>
      <c r="B135" s="32">
        <f t="shared" si="88"/>
        <v>39</v>
      </c>
      <c r="C135" s="62">
        <f t="shared" si="48"/>
        <v>44101</v>
      </c>
      <c r="D135" s="19">
        <v>4</v>
      </c>
      <c r="E135" s="20"/>
      <c r="F135" s="21"/>
      <c r="G135" s="22"/>
      <c r="H135" s="22"/>
      <c r="I135" s="21"/>
      <c r="J135" s="22"/>
      <c r="K135" s="22"/>
      <c r="L135" s="23">
        <f t="shared" si="49"/>
        <v>0</v>
      </c>
      <c r="M135" s="22">
        <f t="shared" si="50"/>
        <v>0</v>
      </c>
      <c r="N135" s="24">
        <v>5</v>
      </c>
      <c r="O135" s="25">
        <v>1</v>
      </c>
      <c r="P135" s="25">
        <f t="shared" si="51"/>
        <v>0</v>
      </c>
      <c r="Q135" s="26"/>
      <c r="R135" s="26"/>
      <c r="S135" s="26"/>
      <c r="T135" s="27"/>
      <c r="U135" s="28">
        <f t="shared" si="52"/>
        <v>0</v>
      </c>
      <c r="V135" s="22"/>
      <c r="W135" s="22"/>
      <c r="X135" s="40"/>
      <c r="Y135" s="22"/>
      <c r="Z135" s="40"/>
      <c r="AA135" s="40"/>
      <c r="AB135" s="40"/>
      <c r="AC135" s="29" t="str">
        <f t="shared" si="53"/>
        <v/>
      </c>
      <c r="AD135" s="30" t="str">
        <f t="shared" si="54"/>
        <v/>
      </c>
      <c r="AE135" s="30" t="str">
        <f t="shared" si="55"/>
        <v/>
      </c>
      <c r="AF135" s="6">
        <f>+SUM(AD132:AD136)</f>
        <v>0</v>
      </c>
      <c r="AG135" s="6">
        <f>+SUM(AE131:AE136)</f>
        <v>0</v>
      </c>
      <c r="AH135" s="6"/>
    </row>
    <row r="136" spans="1:34" ht="20.25" customHeight="1" x14ac:dyDescent="0.3">
      <c r="A136" s="33">
        <f>+A135</f>
        <v>44101</v>
      </c>
      <c r="B136" s="34">
        <f t="shared" si="88"/>
        <v>39</v>
      </c>
      <c r="C136" s="63">
        <f t="shared" si="48"/>
        <v>44101</v>
      </c>
      <c r="D136" s="19">
        <v>5</v>
      </c>
      <c r="E136" s="20"/>
      <c r="F136" s="21"/>
      <c r="G136" s="22"/>
      <c r="H136" s="22"/>
      <c r="I136" s="21"/>
      <c r="J136" s="22"/>
      <c r="K136" s="22"/>
      <c r="L136" s="23">
        <f t="shared" si="49"/>
        <v>0</v>
      </c>
      <c r="M136" s="22">
        <f t="shared" si="50"/>
        <v>0</v>
      </c>
      <c r="N136" s="24">
        <v>5</v>
      </c>
      <c r="O136" s="25">
        <v>1</v>
      </c>
      <c r="P136" s="25">
        <f t="shared" si="51"/>
        <v>0</v>
      </c>
      <c r="Q136" s="26"/>
      <c r="R136" s="26"/>
      <c r="S136" s="26"/>
      <c r="T136" s="27"/>
      <c r="U136" s="28">
        <f t="shared" si="52"/>
        <v>0</v>
      </c>
      <c r="V136" s="22"/>
      <c r="W136" s="22"/>
      <c r="X136" s="40"/>
      <c r="Y136" s="22"/>
      <c r="Z136" s="40"/>
      <c r="AA136" s="40"/>
      <c r="AB136" s="40"/>
      <c r="AC136" s="29" t="str">
        <f t="shared" si="53"/>
        <v/>
      </c>
      <c r="AD136" s="30" t="str">
        <f t="shared" si="54"/>
        <v/>
      </c>
      <c r="AE136" s="30" t="str">
        <f t="shared" si="55"/>
        <v/>
      </c>
      <c r="AF136" s="7">
        <f>+COUNT(AD132:AD136)</f>
        <v>0</v>
      </c>
      <c r="AG136" s="7">
        <f>+COUNT(AE131:AE136)</f>
        <v>0</v>
      </c>
      <c r="AH136" s="6"/>
    </row>
    <row r="137" spans="1:34" ht="20.25" customHeight="1" x14ac:dyDescent="0.3">
      <c r="A137" s="17">
        <f>+A132+1</f>
        <v>44102</v>
      </c>
      <c r="B137" s="18">
        <f>WEEKNUM(A137,2)</f>
        <v>40</v>
      </c>
      <c r="C137" s="61">
        <f t="shared" si="48"/>
        <v>44102</v>
      </c>
      <c r="D137" s="19">
        <v>1</v>
      </c>
      <c r="E137" s="20"/>
      <c r="F137" s="21"/>
      <c r="G137" s="22"/>
      <c r="H137" s="22"/>
      <c r="I137" s="21"/>
      <c r="J137" s="22"/>
      <c r="K137" s="22"/>
      <c r="L137" s="23">
        <f t="shared" si="49"/>
        <v>0</v>
      </c>
      <c r="M137" s="22">
        <f t="shared" si="50"/>
        <v>0</v>
      </c>
      <c r="N137" s="24">
        <v>5</v>
      </c>
      <c r="O137" s="25">
        <v>1</v>
      </c>
      <c r="P137" s="25">
        <f t="shared" si="51"/>
        <v>0</v>
      </c>
      <c r="Q137" s="26"/>
      <c r="R137" s="26"/>
      <c r="S137" s="26"/>
      <c r="T137" s="27"/>
      <c r="U137" s="28">
        <f t="shared" si="52"/>
        <v>0</v>
      </c>
      <c r="V137" s="22">
        <f>SUM(U137:U141)</f>
        <v>0</v>
      </c>
      <c r="W137" s="84">
        <f>+Tabla1[[#This Row],[RESULTADO DEL DÍA]]+W132</f>
        <v>1269.5000000000005</v>
      </c>
      <c r="X137" s="22">
        <f>+X132+Tabla1[[#This Row],[Objetivo presupuestado]]</f>
        <v>1299</v>
      </c>
      <c r="Y137" s="22" t="str">
        <f t="shared" ref="Y137" si="89">IF(AF137=0,"0",10)</f>
        <v>0</v>
      </c>
      <c r="Z137" s="22" t="str">
        <f t="shared" ref="Z137" si="90">IF(AF137=0,"0",50)</f>
        <v>0</v>
      </c>
      <c r="AA137" s="27">
        <f>+IFERROR(AF140/(AG140*-1),AF140)</f>
        <v>0</v>
      </c>
      <c r="AB137" s="85" t="str">
        <f>+IFERROR(AF141/AF137,"0")</f>
        <v>0</v>
      </c>
      <c r="AC137" s="29" t="str">
        <f t="shared" si="53"/>
        <v/>
      </c>
      <c r="AD137" s="30" t="str">
        <f t="shared" si="54"/>
        <v/>
      </c>
      <c r="AE137" s="30" t="str">
        <f t="shared" si="55"/>
        <v/>
      </c>
      <c r="AF137" s="9">
        <f>+COUNTIF(AC137:AC141,"1")</f>
        <v>0</v>
      </c>
      <c r="AH137" s="6"/>
    </row>
    <row r="138" spans="1:34" ht="20.25" customHeight="1" x14ac:dyDescent="0.3">
      <c r="A138" s="31">
        <f>+A137</f>
        <v>44102</v>
      </c>
      <c r="B138" s="32">
        <f t="shared" ref="B138:B141" si="91">+B137</f>
        <v>40</v>
      </c>
      <c r="C138" s="62">
        <f t="shared" si="48"/>
        <v>44102</v>
      </c>
      <c r="D138" s="19">
        <v>2</v>
      </c>
      <c r="E138" s="20"/>
      <c r="F138" s="21"/>
      <c r="G138" s="22"/>
      <c r="H138" s="22"/>
      <c r="I138" s="21"/>
      <c r="J138" s="22"/>
      <c r="K138" s="22"/>
      <c r="L138" s="23">
        <f t="shared" si="49"/>
        <v>0</v>
      </c>
      <c r="M138" s="22">
        <f t="shared" si="50"/>
        <v>0</v>
      </c>
      <c r="N138" s="24">
        <v>5</v>
      </c>
      <c r="O138" s="25">
        <v>1</v>
      </c>
      <c r="P138" s="25">
        <f t="shared" si="51"/>
        <v>0</v>
      </c>
      <c r="Q138" s="26"/>
      <c r="R138" s="26"/>
      <c r="S138" s="26"/>
      <c r="T138" s="27"/>
      <c r="U138" s="28">
        <f t="shared" si="52"/>
        <v>0</v>
      </c>
      <c r="V138" s="22"/>
      <c r="W138" s="22"/>
      <c r="X138" s="40"/>
      <c r="Y138" s="22"/>
      <c r="Z138" s="40"/>
      <c r="AA138" s="83"/>
      <c r="AB138" s="83"/>
      <c r="AC138" s="29" t="str">
        <f t="shared" si="53"/>
        <v/>
      </c>
      <c r="AD138" s="30" t="str">
        <f t="shared" si="54"/>
        <v/>
      </c>
      <c r="AE138" s="30" t="str">
        <f t="shared" si="55"/>
        <v/>
      </c>
      <c r="AF138" s="2"/>
      <c r="AH138" s="6"/>
    </row>
    <row r="139" spans="1:34" ht="20.25" customHeight="1" x14ac:dyDescent="0.3">
      <c r="A139" s="31">
        <f>+A138</f>
        <v>44102</v>
      </c>
      <c r="B139" s="32">
        <f t="shared" si="91"/>
        <v>40</v>
      </c>
      <c r="C139" s="62">
        <f t="shared" si="48"/>
        <v>44102</v>
      </c>
      <c r="D139" s="19">
        <v>3</v>
      </c>
      <c r="E139" s="20"/>
      <c r="F139" s="21"/>
      <c r="G139" s="22"/>
      <c r="H139" s="22"/>
      <c r="I139" s="21"/>
      <c r="J139" s="22"/>
      <c r="K139" s="22"/>
      <c r="L139" s="23">
        <f t="shared" si="49"/>
        <v>0</v>
      </c>
      <c r="M139" s="22">
        <f t="shared" si="50"/>
        <v>0</v>
      </c>
      <c r="N139" s="24">
        <v>5</v>
      </c>
      <c r="O139" s="25">
        <v>1</v>
      </c>
      <c r="P139" s="25">
        <f t="shared" si="51"/>
        <v>0</v>
      </c>
      <c r="Q139" s="26"/>
      <c r="R139" s="26"/>
      <c r="S139" s="26"/>
      <c r="T139" s="27"/>
      <c r="U139" s="28">
        <f t="shared" si="52"/>
        <v>0</v>
      </c>
      <c r="V139" s="22"/>
      <c r="W139" s="22"/>
      <c r="X139" s="40"/>
      <c r="Y139" s="22"/>
      <c r="Z139" s="40"/>
      <c r="AA139" s="40"/>
      <c r="AB139" s="40"/>
      <c r="AC139" s="29" t="str">
        <f t="shared" si="53"/>
        <v/>
      </c>
      <c r="AD139" s="30" t="str">
        <f t="shared" si="54"/>
        <v/>
      </c>
      <c r="AE139" s="30" t="str">
        <f t="shared" si="55"/>
        <v/>
      </c>
      <c r="AF139" s="2"/>
      <c r="AH139" s="6"/>
    </row>
    <row r="140" spans="1:34" ht="20.25" customHeight="1" x14ac:dyDescent="0.3">
      <c r="A140" s="31">
        <f>+A139</f>
        <v>44102</v>
      </c>
      <c r="B140" s="32">
        <f t="shared" si="91"/>
        <v>40</v>
      </c>
      <c r="C140" s="62">
        <f t="shared" si="48"/>
        <v>44102</v>
      </c>
      <c r="D140" s="19">
        <v>4</v>
      </c>
      <c r="E140" s="20"/>
      <c r="F140" s="21"/>
      <c r="G140" s="22"/>
      <c r="H140" s="22"/>
      <c r="I140" s="21"/>
      <c r="J140" s="22"/>
      <c r="K140" s="22"/>
      <c r="L140" s="23">
        <f t="shared" si="49"/>
        <v>0</v>
      </c>
      <c r="M140" s="22">
        <f t="shared" si="50"/>
        <v>0</v>
      </c>
      <c r="N140" s="24">
        <v>5</v>
      </c>
      <c r="O140" s="25">
        <v>1</v>
      </c>
      <c r="P140" s="25">
        <f t="shared" si="51"/>
        <v>0</v>
      </c>
      <c r="Q140" s="26"/>
      <c r="R140" s="26"/>
      <c r="S140" s="26"/>
      <c r="T140" s="27"/>
      <c r="U140" s="28">
        <f t="shared" si="52"/>
        <v>0</v>
      </c>
      <c r="V140" s="22"/>
      <c r="W140" s="22"/>
      <c r="X140" s="40"/>
      <c r="Y140" s="22"/>
      <c r="Z140" s="40"/>
      <c r="AA140" s="40"/>
      <c r="AB140" s="40"/>
      <c r="AC140" s="29" t="str">
        <f t="shared" si="53"/>
        <v/>
      </c>
      <c r="AD140" s="30" t="str">
        <f t="shared" si="54"/>
        <v/>
      </c>
      <c r="AE140" s="30" t="str">
        <f t="shared" si="55"/>
        <v/>
      </c>
      <c r="AF140" s="6">
        <f>+SUM(AD137:AD141)</f>
        <v>0</v>
      </c>
      <c r="AG140" s="6">
        <f>+SUM(AE136:AE141)</f>
        <v>0</v>
      </c>
      <c r="AH140" s="6"/>
    </row>
    <row r="141" spans="1:34" ht="20.25" customHeight="1" x14ac:dyDescent="0.3">
      <c r="A141" s="33">
        <f>+A140</f>
        <v>44102</v>
      </c>
      <c r="B141" s="34">
        <f t="shared" si="91"/>
        <v>40</v>
      </c>
      <c r="C141" s="63">
        <f t="shared" si="48"/>
        <v>44102</v>
      </c>
      <c r="D141" s="19">
        <v>5</v>
      </c>
      <c r="E141" s="20"/>
      <c r="F141" s="21"/>
      <c r="G141" s="22"/>
      <c r="H141" s="22"/>
      <c r="I141" s="21"/>
      <c r="J141" s="22"/>
      <c r="K141" s="22"/>
      <c r="L141" s="23">
        <f t="shared" si="49"/>
        <v>0</v>
      </c>
      <c r="M141" s="22">
        <f t="shared" si="50"/>
        <v>0</v>
      </c>
      <c r="N141" s="24">
        <v>5</v>
      </c>
      <c r="O141" s="25">
        <v>1</v>
      </c>
      <c r="P141" s="25">
        <f t="shared" si="51"/>
        <v>0</v>
      </c>
      <c r="Q141" s="26"/>
      <c r="R141" s="26"/>
      <c r="S141" s="26"/>
      <c r="T141" s="27"/>
      <c r="U141" s="28">
        <f t="shared" si="52"/>
        <v>0</v>
      </c>
      <c r="V141" s="22"/>
      <c r="W141" s="22"/>
      <c r="X141" s="40"/>
      <c r="Y141" s="22"/>
      <c r="Z141" s="40"/>
      <c r="AA141" s="40"/>
      <c r="AB141" s="40"/>
      <c r="AC141" s="29" t="str">
        <f t="shared" si="53"/>
        <v/>
      </c>
      <c r="AD141" s="30" t="str">
        <f t="shared" si="54"/>
        <v/>
      </c>
      <c r="AE141" s="30" t="str">
        <f t="shared" si="55"/>
        <v/>
      </c>
      <c r="AF141" s="7">
        <f>+COUNT(AD137:AD141)</f>
        <v>0</v>
      </c>
      <c r="AG141" s="7">
        <f>+COUNT(AE136:AE141)</f>
        <v>0</v>
      </c>
      <c r="AH141" s="6"/>
    </row>
    <row r="142" spans="1:34" ht="20.25" customHeight="1" x14ac:dyDescent="0.3">
      <c r="A142" s="17">
        <f>+A137+1</f>
        <v>44103</v>
      </c>
      <c r="B142" s="18">
        <f>WEEKNUM(A142,2)</f>
        <v>40</v>
      </c>
      <c r="C142" s="61">
        <f t="shared" si="48"/>
        <v>44103</v>
      </c>
      <c r="D142" s="19">
        <v>1</v>
      </c>
      <c r="E142" s="20"/>
      <c r="F142" s="21"/>
      <c r="G142" s="22"/>
      <c r="H142" s="22"/>
      <c r="I142" s="21"/>
      <c r="J142" s="22"/>
      <c r="K142" s="22"/>
      <c r="L142" s="23">
        <f t="shared" si="49"/>
        <v>0</v>
      </c>
      <c r="M142" s="22">
        <f t="shared" si="50"/>
        <v>0</v>
      </c>
      <c r="N142" s="24">
        <v>5</v>
      </c>
      <c r="O142" s="25">
        <v>1</v>
      </c>
      <c r="P142" s="25">
        <f t="shared" si="51"/>
        <v>0</v>
      </c>
      <c r="Q142" s="26"/>
      <c r="R142" s="26"/>
      <c r="S142" s="26"/>
      <c r="T142" s="27"/>
      <c r="U142" s="28">
        <f t="shared" si="52"/>
        <v>0</v>
      </c>
      <c r="V142" s="22">
        <f>SUM(U142:U146)</f>
        <v>0</v>
      </c>
      <c r="W142" s="84">
        <f>+Tabla1[[#This Row],[RESULTADO DEL DÍA]]+W137</f>
        <v>1269.5000000000005</v>
      </c>
      <c r="X142" s="22">
        <f>+X137+Tabla1[[#This Row],[Objetivo presupuestado]]</f>
        <v>1299</v>
      </c>
      <c r="Y142" s="22" t="str">
        <f t="shared" ref="Y142" si="92">IF(AF142=0,"0",10)</f>
        <v>0</v>
      </c>
      <c r="Z142" s="22" t="str">
        <f t="shared" ref="Z142" si="93">IF(AF142=0,"0",50)</f>
        <v>0</v>
      </c>
      <c r="AA142" s="27">
        <f>+IFERROR(AF145/(AG145*-1),AF145)</f>
        <v>0</v>
      </c>
      <c r="AB142" s="85" t="str">
        <f>+IFERROR(AF146/AF142,"0")</f>
        <v>0</v>
      </c>
      <c r="AC142" s="29" t="str">
        <f t="shared" si="53"/>
        <v/>
      </c>
      <c r="AD142" s="30" t="str">
        <f t="shared" si="54"/>
        <v/>
      </c>
      <c r="AE142" s="30" t="str">
        <f t="shared" si="55"/>
        <v/>
      </c>
      <c r="AF142" s="9">
        <f>+COUNTIF(AC142:AC146,"1")</f>
        <v>0</v>
      </c>
      <c r="AH142" s="7"/>
    </row>
    <row r="143" spans="1:34" ht="20.25" customHeight="1" x14ac:dyDescent="0.3">
      <c r="A143" s="31">
        <f>+A142</f>
        <v>44103</v>
      </c>
      <c r="B143" s="32">
        <f t="shared" ref="B143:B146" si="94">+B142</f>
        <v>40</v>
      </c>
      <c r="C143" s="62">
        <f t="shared" si="48"/>
        <v>44103</v>
      </c>
      <c r="D143" s="19">
        <v>2</v>
      </c>
      <c r="E143" s="20"/>
      <c r="F143" s="21"/>
      <c r="G143" s="22"/>
      <c r="H143" s="22"/>
      <c r="I143" s="21"/>
      <c r="J143" s="22"/>
      <c r="K143" s="22"/>
      <c r="L143" s="23">
        <f t="shared" si="49"/>
        <v>0</v>
      </c>
      <c r="M143" s="22">
        <f t="shared" si="50"/>
        <v>0</v>
      </c>
      <c r="N143" s="24">
        <v>5</v>
      </c>
      <c r="O143" s="25">
        <v>1</v>
      </c>
      <c r="P143" s="25">
        <f t="shared" si="51"/>
        <v>0</v>
      </c>
      <c r="Q143" s="26"/>
      <c r="R143" s="26"/>
      <c r="S143" s="26"/>
      <c r="T143" s="27"/>
      <c r="U143" s="28">
        <f t="shared" si="52"/>
        <v>0</v>
      </c>
      <c r="V143" s="22"/>
      <c r="W143" s="22"/>
      <c r="X143" s="40"/>
      <c r="Y143" s="22"/>
      <c r="Z143" s="40"/>
      <c r="AA143" s="83"/>
      <c r="AB143" s="83"/>
      <c r="AC143" s="29" t="str">
        <f t="shared" si="53"/>
        <v/>
      </c>
      <c r="AD143" s="30" t="str">
        <f t="shared" si="54"/>
        <v/>
      </c>
      <c r="AE143" s="30" t="str">
        <f t="shared" si="55"/>
        <v/>
      </c>
      <c r="AF143" s="2"/>
    </row>
    <row r="144" spans="1:34" ht="20.25" customHeight="1" x14ac:dyDescent="0.3">
      <c r="A144" s="31">
        <f>+A143</f>
        <v>44103</v>
      </c>
      <c r="B144" s="32">
        <f t="shared" si="94"/>
        <v>40</v>
      </c>
      <c r="C144" s="62">
        <f t="shared" si="48"/>
        <v>44103</v>
      </c>
      <c r="D144" s="19">
        <v>3</v>
      </c>
      <c r="E144" s="20"/>
      <c r="F144" s="21"/>
      <c r="G144" s="22"/>
      <c r="H144" s="22"/>
      <c r="I144" s="21"/>
      <c r="J144" s="22"/>
      <c r="K144" s="22"/>
      <c r="L144" s="23">
        <f t="shared" si="49"/>
        <v>0</v>
      </c>
      <c r="M144" s="22">
        <f t="shared" si="50"/>
        <v>0</v>
      </c>
      <c r="N144" s="24">
        <v>5</v>
      </c>
      <c r="O144" s="25">
        <v>1</v>
      </c>
      <c r="P144" s="25">
        <f t="shared" si="51"/>
        <v>0</v>
      </c>
      <c r="Q144" s="26"/>
      <c r="R144" s="26"/>
      <c r="S144" s="26"/>
      <c r="T144" s="27"/>
      <c r="U144" s="28">
        <f t="shared" si="52"/>
        <v>0</v>
      </c>
      <c r="V144" s="22"/>
      <c r="W144" s="22"/>
      <c r="X144" s="40"/>
      <c r="Y144" s="22"/>
      <c r="Z144" s="40"/>
      <c r="AA144" s="40"/>
      <c r="AB144" s="40"/>
      <c r="AC144" s="29" t="str">
        <f t="shared" si="53"/>
        <v/>
      </c>
      <c r="AD144" s="30" t="str">
        <f t="shared" si="54"/>
        <v/>
      </c>
      <c r="AE144" s="30" t="str">
        <f t="shared" si="55"/>
        <v/>
      </c>
      <c r="AF144" s="2"/>
    </row>
    <row r="145" spans="1:33" ht="20.25" customHeight="1" x14ac:dyDescent="0.3">
      <c r="A145" s="31">
        <f>+A144</f>
        <v>44103</v>
      </c>
      <c r="B145" s="32">
        <f t="shared" si="94"/>
        <v>40</v>
      </c>
      <c r="C145" s="62">
        <f t="shared" ref="C145:C146" si="95">+A145</f>
        <v>44103</v>
      </c>
      <c r="D145" s="19">
        <v>4</v>
      </c>
      <c r="E145" s="20"/>
      <c r="F145" s="21"/>
      <c r="G145" s="22"/>
      <c r="H145" s="22"/>
      <c r="I145" s="21"/>
      <c r="J145" s="22"/>
      <c r="K145" s="22"/>
      <c r="L145" s="23">
        <f t="shared" ref="L145:L146" si="96">+I145-F145</f>
        <v>0</v>
      </c>
      <c r="M145" s="22">
        <f t="shared" ref="M145:M146" si="97">+IF(E145="buy",J145-G145,G145-J145)</f>
        <v>0</v>
      </c>
      <c r="N145" s="24">
        <v>5</v>
      </c>
      <c r="O145" s="25">
        <v>1</v>
      </c>
      <c r="P145" s="25">
        <f t="shared" ref="P145:P146" si="98">+IF(J145&gt;0,O145*1,0)</f>
        <v>0</v>
      </c>
      <c r="Q145" s="26"/>
      <c r="R145" s="26"/>
      <c r="S145" s="26"/>
      <c r="T145" s="27"/>
      <c r="U145" s="28">
        <f t="shared" ref="U145:U146" si="99">+O145*N145*M145-P145</f>
        <v>0</v>
      </c>
      <c r="V145" s="22"/>
      <c r="W145" s="22"/>
      <c r="X145" s="40"/>
      <c r="Y145" s="22"/>
      <c r="Z145" s="40"/>
      <c r="AA145" s="40"/>
      <c r="AB145" s="40"/>
      <c r="AC145" s="29" t="str">
        <f t="shared" ref="AC145:AC149" si="100">+IF(G145&gt;0,1,"")</f>
        <v/>
      </c>
      <c r="AD145" s="30" t="str">
        <f t="shared" ref="AD145:AD149" si="101">+IF(M145&gt;0,M145,"")</f>
        <v/>
      </c>
      <c r="AE145" s="30" t="str">
        <f t="shared" ref="AE145:AE149" si="102">+IF(M145&lt;0,M145,"")</f>
        <v/>
      </c>
      <c r="AF145" s="6">
        <f>+SUM(AD142:AD146)</f>
        <v>0</v>
      </c>
      <c r="AG145" s="6">
        <f>+SUM(AE141:AE146)</f>
        <v>0</v>
      </c>
    </row>
    <row r="146" spans="1:33" ht="20.25" customHeight="1" x14ac:dyDescent="0.3">
      <c r="A146" s="33">
        <f>+A145</f>
        <v>44103</v>
      </c>
      <c r="B146" s="34">
        <f t="shared" si="94"/>
        <v>40</v>
      </c>
      <c r="C146" s="63">
        <f t="shared" si="95"/>
        <v>44103</v>
      </c>
      <c r="D146" s="19">
        <v>5</v>
      </c>
      <c r="E146" s="20"/>
      <c r="F146" s="21"/>
      <c r="G146" s="22"/>
      <c r="H146" s="22"/>
      <c r="I146" s="21"/>
      <c r="J146" s="22"/>
      <c r="K146" s="22"/>
      <c r="L146" s="23">
        <f t="shared" si="96"/>
        <v>0</v>
      </c>
      <c r="M146" s="22">
        <f t="shared" si="97"/>
        <v>0</v>
      </c>
      <c r="N146" s="24">
        <v>5</v>
      </c>
      <c r="O146" s="25">
        <v>1</v>
      </c>
      <c r="P146" s="25">
        <f t="shared" si="98"/>
        <v>0</v>
      </c>
      <c r="Q146" s="26"/>
      <c r="R146" s="26"/>
      <c r="S146" s="26"/>
      <c r="T146" s="27"/>
      <c r="U146" s="28">
        <f t="shared" si="99"/>
        <v>0</v>
      </c>
      <c r="V146" s="22"/>
      <c r="W146" s="22"/>
      <c r="X146" s="40"/>
      <c r="Y146" s="22"/>
      <c r="Z146" s="40"/>
      <c r="AA146" s="40"/>
      <c r="AB146" s="40"/>
      <c r="AC146" s="29" t="str">
        <f t="shared" si="100"/>
        <v/>
      </c>
      <c r="AD146" s="30" t="str">
        <f t="shared" si="101"/>
        <v/>
      </c>
      <c r="AE146" s="30" t="str">
        <f t="shared" si="102"/>
        <v/>
      </c>
      <c r="AF146" s="7">
        <f>+COUNT(AD142:AD146)</f>
        <v>0</v>
      </c>
      <c r="AG146" s="7">
        <f>+COUNT(AE141:AE146)</f>
        <v>0</v>
      </c>
    </row>
    <row r="147" spans="1:33" ht="20.25" customHeight="1" x14ac:dyDescent="0.3">
      <c r="A147" s="17">
        <f>+A142+1</f>
        <v>44104</v>
      </c>
      <c r="B147" s="32">
        <f t="shared" ref="B147:B151" si="103">+B146</f>
        <v>40</v>
      </c>
      <c r="C147" s="62">
        <f t="shared" ref="C147:C151" si="104">+A147</f>
        <v>44104</v>
      </c>
      <c r="D147" s="76"/>
      <c r="E147" s="20"/>
      <c r="F147" s="77"/>
      <c r="G147" s="35"/>
      <c r="H147" s="35"/>
      <c r="I147" s="77"/>
      <c r="J147" s="35"/>
      <c r="K147" s="35"/>
      <c r="L147" s="71">
        <f t="shared" ref="L147:L151" si="105">+I147-F147</f>
        <v>0</v>
      </c>
      <c r="M147" s="35">
        <f t="shared" ref="M147:M151" si="106">+IF(E147="buy",J147-G147,G147-J147)</f>
        <v>0</v>
      </c>
      <c r="N147" s="72"/>
      <c r="O147" s="73"/>
      <c r="P147" s="78">
        <f t="shared" ref="P147:P151" si="107">+IF(J147&gt;0,O147*1,0)</f>
        <v>0</v>
      </c>
      <c r="Q147" s="79"/>
      <c r="R147" s="79"/>
      <c r="S147" s="79"/>
      <c r="T147" s="80"/>
      <c r="U147" s="74">
        <f t="shared" ref="U147:U151" si="108">+O147*N147*M147-P147</f>
        <v>0</v>
      </c>
      <c r="V147" s="35"/>
      <c r="W147" s="84">
        <f>+Tabla1[[#This Row],[RESULTADO DEL DÍA]]+W142</f>
        <v>1269.5000000000005</v>
      </c>
      <c r="X147" s="22">
        <f>+X142+Tabla1[[#This Row],[Objetivo presupuestado]]</f>
        <v>1299</v>
      </c>
      <c r="Y147" s="22" t="str">
        <f t="shared" ref="Y147" si="109">IF(AF147=0,"0",10)</f>
        <v>0</v>
      </c>
      <c r="Z147" s="22" t="str">
        <f t="shared" ref="Z147" si="110">IF(AF147=0,"0",50)</f>
        <v>0</v>
      </c>
      <c r="AA147" s="27">
        <f>+IFERROR(AF150/(AG150*-1),AF150)</f>
        <v>0</v>
      </c>
      <c r="AB147" s="85" t="str">
        <f>+IFERROR(AF151/AF147,"0")</f>
        <v>0</v>
      </c>
      <c r="AC147" s="29" t="str">
        <f t="shared" si="100"/>
        <v/>
      </c>
      <c r="AD147" s="30" t="str">
        <f t="shared" si="101"/>
        <v/>
      </c>
      <c r="AE147" s="30" t="str">
        <f t="shared" si="102"/>
        <v/>
      </c>
      <c r="AF147" s="9">
        <f>+COUNTIF(AC147:AC151,"1")</f>
        <v>0</v>
      </c>
    </row>
    <row r="148" spans="1:33" ht="20.25" customHeight="1" x14ac:dyDescent="0.3">
      <c r="A148" s="31">
        <f t="shared" ref="A148:A151" si="111">+A147</f>
        <v>44104</v>
      </c>
      <c r="B148" s="32">
        <f t="shared" si="103"/>
        <v>40</v>
      </c>
      <c r="C148" s="62">
        <f t="shared" si="104"/>
        <v>44104</v>
      </c>
      <c r="D148" s="76"/>
      <c r="E148" s="20"/>
      <c r="F148" s="77"/>
      <c r="G148" s="35"/>
      <c r="H148" s="35"/>
      <c r="I148" s="77"/>
      <c r="J148" s="35"/>
      <c r="K148" s="35"/>
      <c r="L148" s="71">
        <f t="shared" si="105"/>
        <v>0</v>
      </c>
      <c r="M148" s="35">
        <f t="shared" si="106"/>
        <v>0</v>
      </c>
      <c r="N148" s="72"/>
      <c r="O148" s="73"/>
      <c r="P148" s="78">
        <f t="shared" si="107"/>
        <v>0</v>
      </c>
      <c r="Q148" s="79"/>
      <c r="R148" s="79"/>
      <c r="S148" s="79"/>
      <c r="T148" s="80"/>
      <c r="U148" s="74">
        <f t="shared" si="108"/>
        <v>0</v>
      </c>
      <c r="V148" s="35"/>
      <c r="W148" s="22"/>
      <c r="X148" s="40"/>
      <c r="Y148" s="22"/>
      <c r="Z148" s="40"/>
      <c r="AA148" s="83"/>
      <c r="AB148" s="83"/>
      <c r="AC148" s="29" t="str">
        <f t="shared" si="100"/>
        <v/>
      </c>
      <c r="AD148" s="30" t="str">
        <f t="shared" si="101"/>
        <v/>
      </c>
      <c r="AE148" s="30" t="str">
        <f t="shared" si="102"/>
        <v/>
      </c>
      <c r="AF148" s="2"/>
    </row>
    <row r="149" spans="1:33" ht="20.25" customHeight="1" x14ac:dyDescent="0.3">
      <c r="A149" s="31">
        <f t="shared" si="111"/>
        <v>44104</v>
      </c>
      <c r="B149" s="32">
        <f t="shared" si="103"/>
        <v>40</v>
      </c>
      <c r="C149" s="62">
        <f t="shared" si="104"/>
        <v>44104</v>
      </c>
      <c r="D149" s="76"/>
      <c r="E149" s="20"/>
      <c r="F149" s="77"/>
      <c r="G149" s="35"/>
      <c r="H149" s="35"/>
      <c r="I149" s="77"/>
      <c r="J149" s="35"/>
      <c r="K149" s="35"/>
      <c r="L149" s="71">
        <f t="shared" si="105"/>
        <v>0</v>
      </c>
      <c r="M149" s="35">
        <f t="shared" si="106"/>
        <v>0</v>
      </c>
      <c r="N149" s="72"/>
      <c r="O149" s="73"/>
      <c r="P149" s="78">
        <f t="shared" si="107"/>
        <v>0</v>
      </c>
      <c r="Q149" s="79"/>
      <c r="R149" s="79"/>
      <c r="S149" s="79"/>
      <c r="T149" s="80"/>
      <c r="U149" s="74">
        <f t="shared" si="108"/>
        <v>0</v>
      </c>
      <c r="V149" s="35"/>
      <c r="W149" s="22"/>
      <c r="X149" s="40"/>
      <c r="Y149" s="22"/>
      <c r="Z149" s="40"/>
      <c r="AA149" s="40"/>
      <c r="AB149" s="40"/>
      <c r="AC149" s="29" t="str">
        <f t="shared" si="100"/>
        <v/>
      </c>
      <c r="AD149" s="30" t="str">
        <f t="shared" si="101"/>
        <v/>
      </c>
      <c r="AE149" s="30" t="str">
        <f t="shared" si="102"/>
        <v/>
      </c>
      <c r="AF149" s="2"/>
    </row>
    <row r="150" spans="1:33" ht="20.25" customHeight="1" x14ac:dyDescent="0.3">
      <c r="A150" s="31">
        <f t="shared" si="111"/>
        <v>44104</v>
      </c>
      <c r="B150" s="32">
        <f t="shared" si="103"/>
        <v>40</v>
      </c>
      <c r="C150" s="62">
        <f t="shared" si="104"/>
        <v>44104</v>
      </c>
      <c r="D150" s="76"/>
      <c r="E150" s="20"/>
      <c r="F150" s="77"/>
      <c r="G150" s="35"/>
      <c r="H150" s="35"/>
      <c r="I150" s="77"/>
      <c r="J150" s="35"/>
      <c r="K150" s="35"/>
      <c r="L150" s="71">
        <f t="shared" si="105"/>
        <v>0</v>
      </c>
      <c r="M150" s="35">
        <f t="shared" si="106"/>
        <v>0</v>
      </c>
      <c r="N150" s="72"/>
      <c r="O150" s="73"/>
      <c r="P150" s="78">
        <f t="shared" si="107"/>
        <v>0</v>
      </c>
      <c r="Q150" s="79"/>
      <c r="R150" s="79"/>
      <c r="S150" s="79"/>
      <c r="T150" s="80"/>
      <c r="U150" s="74">
        <f t="shared" si="108"/>
        <v>0</v>
      </c>
      <c r="V150" s="35"/>
      <c r="W150" s="22"/>
      <c r="X150" s="40"/>
      <c r="Y150" s="22"/>
      <c r="Z150" s="40"/>
      <c r="AA150" s="40"/>
      <c r="AB150" s="40"/>
      <c r="AC150" s="29" t="str">
        <f t="shared" ref="AC150:AC151" si="112">+IF(G150&gt;0,1,"")</f>
        <v/>
      </c>
      <c r="AD150" s="30" t="str">
        <f t="shared" ref="AD150:AD151" si="113">+IF(M150&gt;0,M150,"")</f>
        <v/>
      </c>
      <c r="AE150" s="30" t="str">
        <f t="shared" ref="AE150:AE151" si="114">+IF(M150&lt;0,M150,"")</f>
        <v/>
      </c>
      <c r="AF150" s="6">
        <f>+SUM(AD147:AD151)</f>
        <v>0</v>
      </c>
      <c r="AG150" s="6">
        <f>+SUM(AE146:AE151)</f>
        <v>0</v>
      </c>
    </row>
    <row r="151" spans="1:33" ht="20.25" customHeight="1" x14ac:dyDescent="0.3">
      <c r="A151" s="31">
        <f t="shared" si="111"/>
        <v>44104</v>
      </c>
      <c r="B151" s="32">
        <f t="shared" si="103"/>
        <v>40</v>
      </c>
      <c r="C151" s="62">
        <f t="shared" si="104"/>
        <v>44104</v>
      </c>
      <c r="D151" s="76"/>
      <c r="E151" s="20"/>
      <c r="F151" s="77"/>
      <c r="G151" s="35"/>
      <c r="H151" s="35"/>
      <c r="I151" s="77"/>
      <c r="J151" s="35"/>
      <c r="K151" s="35"/>
      <c r="L151" s="71">
        <f t="shared" si="105"/>
        <v>0</v>
      </c>
      <c r="M151" s="35">
        <f t="shared" si="106"/>
        <v>0</v>
      </c>
      <c r="N151" s="72"/>
      <c r="O151" s="73"/>
      <c r="P151" s="78">
        <f t="shared" si="107"/>
        <v>0</v>
      </c>
      <c r="Q151" s="79"/>
      <c r="R151" s="79"/>
      <c r="S151" s="79"/>
      <c r="T151" s="80"/>
      <c r="U151" s="74">
        <f t="shared" si="108"/>
        <v>0</v>
      </c>
      <c r="V151" s="35"/>
      <c r="W151" s="22"/>
      <c r="X151" s="40"/>
      <c r="Y151" s="22"/>
      <c r="Z151" s="40"/>
      <c r="AA151" s="40"/>
      <c r="AB151" s="40"/>
      <c r="AC151" s="29" t="str">
        <f t="shared" si="112"/>
        <v/>
      </c>
      <c r="AD151" s="30" t="str">
        <f t="shared" si="113"/>
        <v/>
      </c>
      <c r="AE151" s="30" t="str">
        <f t="shared" si="114"/>
        <v/>
      </c>
      <c r="AF151" s="7">
        <f>+COUNT(AD147:AD151)</f>
        <v>0</v>
      </c>
      <c r="AG151" s="7">
        <f>+COUNT(AE146:AE151)</f>
        <v>0</v>
      </c>
    </row>
    <row r="152" spans="1:33" ht="14.25" customHeight="1" x14ac:dyDescent="0.3"/>
    <row r="153" spans="1:33" ht="14.25" customHeight="1" x14ac:dyDescent="0.3"/>
    <row r="154" spans="1:33" ht="14.25" customHeight="1" x14ac:dyDescent="0.3"/>
    <row r="155" spans="1:33" ht="14.25" customHeight="1" x14ac:dyDescent="0.3"/>
    <row r="156" spans="1:33" ht="14.25" customHeight="1" x14ac:dyDescent="0.3"/>
    <row r="157" spans="1:33" ht="14.25" customHeight="1" x14ac:dyDescent="0.3"/>
    <row r="158" spans="1:33" ht="14.25" customHeight="1" x14ac:dyDescent="0.3"/>
    <row r="159" spans="1:33" ht="14.25" customHeight="1" x14ac:dyDescent="0.3"/>
    <row r="160" spans="1:33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</sheetData>
  <conditionalFormatting sqref="V3:Z6 V13:X16 V12 V8:X11 V7 V2:W2 Y2:Z2 AA4:AB6 AA9:AB11 AA14:AB16 AA19:AB21 AA24:AB26 AA29:AB31 AA34:AB36 AA39:AB41 AA44:AB46 AA49:AB51 AA54:AB56 AA59:AB61 AA64:AB66 AA69:AB71 AA74:AB76 AA79:AB81 AA84:AB86 AA89:AB91 AA94:AB96 AA99:AB101 AA104:AB106 AA109:AB111 AA114:AB116 AA119:AB121 AA124:AB126 AA129:AB131 AA134:AB136 AA139:AB141 AA144:AB146 Z13:Z16 Z8:Z11">
    <cfRule type="cellIs" dxfId="426" priority="1705" operator="greaterThan">
      <formula>0</formula>
    </cfRule>
    <cfRule type="cellIs" dxfId="425" priority="1706" operator="lessThan">
      <formula>0</formula>
    </cfRule>
  </conditionalFormatting>
  <conditionalFormatting sqref="M2:M16">
    <cfRule type="cellIs" dxfId="424" priority="1669" operator="lessThan">
      <formula>0</formula>
    </cfRule>
    <cfRule type="cellIs" dxfId="423" priority="1670" operator="greaterThan">
      <formula>0</formula>
    </cfRule>
  </conditionalFormatting>
  <conditionalFormatting sqref="AB7">
    <cfRule type="cellIs" dxfId="422" priority="1643" operator="greaterThan">
      <formula>0</formula>
    </cfRule>
    <cfRule type="cellIs" dxfId="421" priority="1644" operator="lessThan">
      <formula>0</formula>
    </cfRule>
  </conditionalFormatting>
  <conditionalFormatting sqref="AB12">
    <cfRule type="cellIs" dxfId="420" priority="1641" operator="greaterThan">
      <formula>0</formula>
    </cfRule>
    <cfRule type="cellIs" dxfId="419" priority="1642" operator="lessThan">
      <formula>0</formula>
    </cfRule>
  </conditionalFormatting>
  <conditionalFormatting sqref="AA7">
    <cfRule type="cellIs" dxfId="418" priority="1253" operator="greaterThan">
      <formula>0</formula>
    </cfRule>
    <cfRule type="cellIs" dxfId="417" priority="1254" operator="lessThan">
      <formula>0</formula>
    </cfRule>
  </conditionalFormatting>
  <conditionalFormatting sqref="W12">
    <cfRule type="cellIs" dxfId="416" priority="1267" operator="greaterThan">
      <formula>0</formula>
    </cfRule>
    <cfRule type="cellIs" dxfId="415" priority="1268" operator="lessThan">
      <formula>0</formula>
    </cfRule>
  </conditionalFormatting>
  <conditionalFormatting sqref="X7">
    <cfRule type="cellIs" dxfId="414" priority="1259" operator="greaterThan">
      <formula>0</formula>
    </cfRule>
    <cfRule type="cellIs" dxfId="413" priority="1260" operator="lessThan">
      <formula>0</formula>
    </cfRule>
  </conditionalFormatting>
  <conditionalFormatting sqref="W7">
    <cfRule type="cellIs" dxfId="412" priority="1261" operator="greaterThan">
      <formula>0</formula>
    </cfRule>
    <cfRule type="cellIs" dxfId="411" priority="1262" operator="lessThan">
      <formula>0</formula>
    </cfRule>
  </conditionalFormatting>
  <conditionalFormatting sqref="AA12">
    <cfRule type="cellIs" dxfId="410" priority="1255" operator="greaterThan">
      <formula>0</formula>
    </cfRule>
    <cfRule type="cellIs" dxfId="409" priority="1256" operator="lessThan">
      <formula>0</formula>
    </cfRule>
  </conditionalFormatting>
  <conditionalFormatting sqref="V18:X21 V17">
    <cfRule type="cellIs" dxfId="408" priority="789" operator="greaterThan">
      <formula>0</formula>
    </cfRule>
    <cfRule type="cellIs" dxfId="407" priority="790" operator="lessThan">
      <formula>0</formula>
    </cfRule>
  </conditionalFormatting>
  <conditionalFormatting sqref="M17:M21">
    <cfRule type="cellIs" dxfId="406" priority="787" operator="lessThan">
      <formula>0</formula>
    </cfRule>
    <cfRule type="cellIs" dxfId="405" priority="788" operator="greaterThan">
      <formula>0</formula>
    </cfRule>
  </conditionalFormatting>
  <conditionalFormatting sqref="AB17">
    <cfRule type="cellIs" dxfId="404" priority="785" operator="greaterThan">
      <formula>0</formula>
    </cfRule>
    <cfRule type="cellIs" dxfId="403" priority="786" operator="lessThan">
      <formula>0</formula>
    </cfRule>
  </conditionalFormatting>
  <conditionalFormatting sqref="W17">
    <cfRule type="cellIs" dxfId="402" priority="783" operator="greaterThan">
      <formula>0</formula>
    </cfRule>
    <cfRule type="cellIs" dxfId="401" priority="784" operator="lessThan">
      <formula>0</formula>
    </cfRule>
  </conditionalFormatting>
  <conditionalFormatting sqref="AB52">
    <cfRule type="cellIs" dxfId="400" priority="687" operator="greaterThan">
      <formula>0</formula>
    </cfRule>
    <cfRule type="cellIs" dxfId="399" priority="688" operator="lessThan">
      <formula>0</formula>
    </cfRule>
  </conditionalFormatting>
  <conditionalFormatting sqref="AA17">
    <cfRule type="cellIs" dxfId="398" priority="779" operator="greaterThan">
      <formula>0</formula>
    </cfRule>
    <cfRule type="cellIs" dxfId="397" priority="780" operator="lessThan">
      <formula>0</formula>
    </cfRule>
  </conditionalFormatting>
  <conditionalFormatting sqref="AA37">
    <cfRule type="cellIs" dxfId="396" priority="723" operator="greaterThan">
      <formula>0</formula>
    </cfRule>
    <cfRule type="cellIs" dxfId="395" priority="724" operator="lessThan">
      <formula>0</formula>
    </cfRule>
  </conditionalFormatting>
  <conditionalFormatting sqref="V23:X26 V22">
    <cfRule type="cellIs" dxfId="394" priority="775" operator="greaterThan">
      <formula>0</formula>
    </cfRule>
    <cfRule type="cellIs" dxfId="393" priority="776" operator="lessThan">
      <formula>0</formula>
    </cfRule>
  </conditionalFormatting>
  <conditionalFormatting sqref="M22:M26">
    <cfRule type="cellIs" dxfId="392" priority="773" operator="lessThan">
      <formula>0</formula>
    </cfRule>
    <cfRule type="cellIs" dxfId="391" priority="774" operator="greaterThan">
      <formula>0</formula>
    </cfRule>
  </conditionalFormatting>
  <conditionalFormatting sqref="AB22">
    <cfRule type="cellIs" dxfId="390" priority="771" operator="greaterThan">
      <formula>0</formula>
    </cfRule>
    <cfRule type="cellIs" dxfId="389" priority="772" operator="lessThan">
      <formula>0</formula>
    </cfRule>
  </conditionalFormatting>
  <conditionalFormatting sqref="W22">
    <cfRule type="cellIs" dxfId="388" priority="769" operator="greaterThan">
      <formula>0</formula>
    </cfRule>
    <cfRule type="cellIs" dxfId="387" priority="770" operator="lessThan">
      <formula>0</formula>
    </cfRule>
  </conditionalFormatting>
  <conditionalFormatting sqref="AA22">
    <cfRule type="cellIs" dxfId="386" priority="765" operator="greaterThan">
      <formula>0</formula>
    </cfRule>
    <cfRule type="cellIs" dxfId="385" priority="766" operator="lessThan">
      <formula>0</formula>
    </cfRule>
  </conditionalFormatting>
  <conditionalFormatting sqref="AA42">
    <cfRule type="cellIs" dxfId="384" priority="709" operator="greaterThan">
      <formula>0</formula>
    </cfRule>
    <cfRule type="cellIs" dxfId="383" priority="710" operator="lessThan">
      <formula>0</formula>
    </cfRule>
  </conditionalFormatting>
  <conditionalFormatting sqref="V28:W31 V27">
    <cfRule type="cellIs" dxfId="382" priority="761" operator="greaterThan">
      <formula>0</formula>
    </cfRule>
    <cfRule type="cellIs" dxfId="381" priority="762" operator="lessThan">
      <formula>0</formula>
    </cfRule>
  </conditionalFormatting>
  <conditionalFormatting sqref="M27:M31">
    <cfRule type="cellIs" dxfId="380" priority="759" operator="lessThan">
      <formula>0</formula>
    </cfRule>
    <cfRule type="cellIs" dxfId="379" priority="760" operator="greaterThan">
      <formula>0</formula>
    </cfRule>
  </conditionalFormatting>
  <conditionalFormatting sqref="AB27">
    <cfRule type="cellIs" dxfId="378" priority="757" operator="greaterThan">
      <formula>0</formula>
    </cfRule>
    <cfRule type="cellIs" dxfId="377" priority="758" operator="lessThan">
      <formula>0</formula>
    </cfRule>
  </conditionalFormatting>
  <conditionalFormatting sqref="W27">
    <cfRule type="cellIs" dxfId="376" priority="755" operator="greaterThan">
      <formula>0</formula>
    </cfRule>
    <cfRule type="cellIs" dxfId="375" priority="756" operator="lessThan">
      <formula>0</formula>
    </cfRule>
  </conditionalFormatting>
  <conditionalFormatting sqref="V63:W66 V62">
    <cfRule type="cellIs" dxfId="374" priority="663" operator="greaterThan">
      <formula>0</formula>
    </cfRule>
    <cfRule type="cellIs" dxfId="373" priority="664" operator="lessThan">
      <formula>0</formula>
    </cfRule>
  </conditionalFormatting>
  <conditionalFormatting sqref="AA27">
    <cfRule type="cellIs" dxfId="372" priority="751" operator="greaterThan">
      <formula>0</formula>
    </cfRule>
    <cfRule type="cellIs" dxfId="371" priority="752" operator="lessThan">
      <formula>0</formula>
    </cfRule>
  </conditionalFormatting>
  <conditionalFormatting sqref="AA47">
    <cfRule type="cellIs" dxfId="370" priority="695" operator="greaterThan">
      <formula>0</formula>
    </cfRule>
    <cfRule type="cellIs" dxfId="369" priority="696" operator="lessThan">
      <formula>0</formula>
    </cfRule>
  </conditionalFormatting>
  <conditionalFormatting sqref="V33:W36 V32">
    <cfRule type="cellIs" dxfId="368" priority="747" operator="greaterThan">
      <formula>0</formula>
    </cfRule>
    <cfRule type="cellIs" dxfId="367" priority="748" operator="lessThan">
      <formula>0</formula>
    </cfRule>
  </conditionalFormatting>
  <conditionalFormatting sqref="M32:M36">
    <cfRule type="cellIs" dxfId="366" priority="745" operator="lessThan">
      <formula>0</formula>
    </cfRule>
    <cfRule type="cellIs" dxfId="365" priority="746" operator="greaterThan">
      <formula>0</formula>
    </cfRule>
  </conditionalFormatting>
  <conditionalFormatting sqref="AB32">
    <cfRule type="cellIs" dxfId="364" priority="743" operator="greaterThan">
      <formula>0</formula>
    </cfRule>
    <cfRule type="cellIs" dxfId="363" priority="744" operator="lessThan">
      <formula>0</formula>
    </cfRule>
  </conditionalFormatting>
  <conditionalFormatting sqref="W32">
    <cfRule type="cellIs" dxfId="362" priority="741" operator="greaterThan">
      <formula>0</formula>
    </cfRule>
    <cfRule type="cellIs" dxfId="361" priority="742" operator="lessThan">
      <formula>0</formula>
    </cfRule>
  </conditionalFormatting>
  <conditionalFormatting sqref="V68:X71 V67">
    <cfRule type="cellIs" dxfId="360" priority="649" operator="greaterThan">
      <formula>0</formula>
    </cfRule>
    <cfRule type="cellIs" dxfId="359" priority="650" operator="lessThan">
      <formula>0</formula>
    </cfRule>
  </conditionalFormatting>
  <conditionalFormatting sqref="AA32">
    <cfRule type="cellIs" dxfId="358" priority="737" operator="greaterThan">
      <formula>0</formula>
    </cfRule>
    <cfRule type="cellIs" dxfId="357" priority="738" operator="lessThan">
      <formula>0</formula>
    </cfRule>
  </conditionalFormatting>
  <conditionalFormatting sqref="V38:X41 V37">
    <cfRule type="cellIs" dxfId="356" priority="733" operator="greaterThan">
      <formula>0</formula>
    </cfRule>
    <cfRule type="cellIs" dxfId="355" priority="734" operator="lessThan">
      <formula>0</formula>
    </cfRule>
  </conditionalFormatting>
  <conditionalFormatting sqref="M37:M41">
    <cfRule type="cellIs" dxfId="354" priority="731" operator="lessThan">
      <formula>0</formula>
    </cfRule>
    <cfRule type="cellIs" dxfId="353" priority="732" operator="greaterThan">
      <formula>0</formula>
    </cfRule>
  </conditionalFormatting>
  <conditionalFormatting sqref="AB37">
    <cfRule type="cellIs" dxfId="352" priority="729" operator="greaterThan">
      <formula>0</formula>
    </cfRule>
    <cfRule type="cellIs" dxfId="351" priority="730" operator="lessThan">
      <formula>0</formula>
    </cfRule>
  </conditionalFormatting>
  <conditionalFormatting sqref="W37">
    <cfRule type="cellIs" dxfId="350" priority="727" operator="greaterThan">
      <formula>0</formula>
    </cfRule>
    <cfRule type="cellIs" dxfId="349" priority="728" operator="lessThan">
      <formula>0</formula>
    </cfRule>
  </conditionalFormatting>
  <conditionalFormatting sqref="V73:W76 V72">
    <cfRule type="cellIs" dxfId="348" priority="635" operator="greaterThan">
      <formula>0</formula>
    </cfRule>
    <cfRule type="cellIs" dxfId="347" priority="636" operator="lessThan">
      <formula>0</formula>
    </cfRule>
  </conditionalFormatting>
  <conditionalFormatting sqref="AB57">
    <cfRule type="cellIs" dxfId="346" priority="673" operator="greaterThan">
      <formula>0</formula>
    </cfRule>
    <cfRule type="cellIs" dxfId="345" priority="674" operator="lessThan">
      <formula>0</formula>
    </cfRule>
  </conditionalFormatting>
  <conditionalFormatting sqref="V43:W46 V42">
    <cfRule type="cellIs" dxfId="344" priority="719" operator="greaterThan">
      <formula>0</formula>
    </cfRule>
    <cfRule type="cellIs" dxfId="343" priority="720" operator="lessThan">
      <formula>0</formula>
    </cfRule>
  </conditionalFormatting>
  <conditionalFormatting sqref="M42:M46">
    <cfRule type="cellIs" dxfId="342" priority="717" operator="lessThan">
      <formula>0</formula>
    </cfRule>
    <cfRule type="cellIs" dxfId="341" priority="718" operator="greaterThan">
      <formula>0</formula>
    </cfRule>
  </conditionalFormatting>
  <conditionalFormatting sqref="AB42">
    <cfRule type="cellIs" dxfId="340" priority="715" operator="greaterThan">
      <formula>0</formula>
    </cfRule>
    <cfRule type="cellIs" dxfId="339" priority="716" operator="lessThan">
      <formula>0</formula>
    </cfRule>
  </conditionalFormatting>
  <conditionalFormatting sqref="W42">
    <cfRule type="cellIs" dxfId="338" priority="713" operator="greaterThan">
      <formula>0</formula>
    </cfRule>
    <cfRule type="cellIs" dxfId="337" priority="714" operator="lessThan">
      <formula>0</formula>
    </cfRule>
  </conditionalFormatting>
  <conditionalFormatting sqref="AB72">
    <cfRule type="cellIs" dxfId="336" priority="631" operator="greaterThan">
      <formula>0</formula>
    </cfRule>
    <cfRule type="cellIs" dxfId="335" priority="632" operator="lessThan">
      <formula>0</formula>
    </cfRule>
  </conditionalFormatting>
  <conditionalFormatting sqref="AB62">
    <cfRule type="cellIs" dxfId="334" priority="659" operator="greaterThan">
      <formula>0</formula>
    </cfRule>
    <cfRule type="cellIs" dxfId="333" priority="660" operator="lessThan">
      <formula>0</formula>
    </cfRule>
  </conditionalFormatting>
  <conditionalFormatting sqref="V48:W51 V47">
    <cfRule type="cellIs" dxfId="332" priority="705" operator="greaterThan">
      <formula>0</formula>
    </cfRule>
    <cfRule type="cellIs" dxfId="331" priority="706" operator="lessThan">
      <formula>0</formula>
    </cfRule>
  </conditionalFormatting>
  <conditionalFormatting sqref="M47:M51">
    <cfRule type="cellIs" dxfId="330" priority="703" operator="lessThan">
      <formula>0</formula>
    </cfRule>
    <cfRule type="cellIs" dxfId="329" priority="704" operator="greaterThan">
      <formula>0</formula>
    </cfRule>
  </conditionalFormatting>
  <conditionalFormatting sqref="AB47">
    <cfRule type="cellIs" dxfId="328" priority="701" operator="greaterThan">
      <formula>0</formula>
    </cfRule>
    <cfRule type="cellIs" dxfId="327" priority="702" operator="lessThan">
      <formula>0</formula>
    </cfRule>
  </conditionalFormatting>
  <conditionalFormatting sqref="W47">
    <cfRule type="cellIs" dxfId="326" priority="699" operator="greaterThan">
      <formula>0</formula>
    </cfRule>
    <cfRule type="cellIs" dxfId="325" priority="700" operator="lessThan">
      <formula>0</formula>
    </cfRule>
  </conditionalFormatting>
  <conditionalFormatting sqref="AB77">
    <cfRule type="cellIs" dxfId="324" priority="617" operator="greaterThan">
      <formula>0</formula>
    </cfRule>
    <cfRule type="cellIs" dxfId="323" priority="618" operator="lessThan">
      <formula>0</formula>
    </cfRule>
  </conditionalFormatting>
  <conditionalFormatting sqref="V53:X56 V52">
    <cfRule type="cellIs" dxfId="322" priority="691" operator="greaterThan">
      <formula>0</formula>
    </cfRule>
    <cfRule type="cellIs" dxfId="321" priority="692" operator="lessThan">
      <formula>0</formula>
    </cfRule>
  </conditionalFormatting>
  <conditionalFormatting sqref="M52:M56">
    <cfRule type="cellIs" dxfId="320" priority="689" operator="lessThan">
      <formula>0</formula>
    </cfRule>
    <cfRule type="cellIs" dxfId="319" priority="690" operator="greaterThan">
      <formula>0</formula>
    </cfRule>
  </conditionalFormatting>
  <conditionalFormatting sqref="W52">
    <cfRule type="cellIs" dxfId="318" priority="685" operator="greaterThan">
      <formula>0</formula>
    </cfRule>
    <cfRule type="cellIs" dxfId="317" priority="686" operator="lessThan">
      <formula>0</formula>
    </cfRule>
  </conditionalFormatting>
  <conditionalFormatting sqref="AB82">
    <cfRule type="cellIs" dxfId="316" priority="603" operator="greaterThan">
      <formula>0</formula>
    </cfRule>
    <cfRule type="cellIs" dxfId="315" priority="604" operator="lessThan">
      <formula>0</formula>
    </cfRule>
  </conditionalFormatting>
  <conditionalFormatting sqref="AA52">
    <cfRule type="cellIs" dxfId="314" priority="681" operator="greaterThan">
      <formula>0</formula>
    </cfRule>
    <cfRule type="cellIs" dxfId="313" priority="682" operator="lessThan">
      <formula>0</formula>
    </cfRule>
  </conditionalFormatting>
  <conditionalFormatting sqref="V58:W61 V57">
    <cfRule type="cellIs" dxfId="312" priority="677" operator="greaterThan">
      <formula>0</formula>
    </cfRule>
    <cfRule type="cellIs" dxfId="311" priority="678" operator="lessThan">
      <formula>0</formula>
    </cfRule>
  </conditionalFormatting>
  <conditionalFormatting sqref="M57:M61">
    <cfRule type="cellIs" dxfId="310" priority="675" operator="lessThan">
      <formula>0</formula>
    </cfRule>
    <cfRule type="cellIs" dxfId="309" priority="676" operator="greaterThan">
      <formula>0</formula>
    </cfRule>
  </conditionalFormatting>
  <conditionalFormatting sqref="W57">
    <cfRule type="cellIs" dxfId="308" priority="671" operator="greaterThan">
      <formula>0</formula>
    </cfRule>
    <cfRule type="cellIs" dxfId="307" priority="672" operator="lessThan">
      <formula>0</formula>
    </cfRule>
  </conditionalFormatting>
  <conditionalFormatting sqref="AA57">
    <cfRule type="cellIs" dxfId="306" priority="667" operator="greaterThan">
      <formula>0</formula>
    </cfRule>
    <cfRule type="cellIs" dxfId="305" priority="668" operator="lessThan">
      <formula>0</formula>
    </cfRule>
  </conditionalFormatting>
  <conditionalFormatting sqref="M62:M66">
    <cfRule type="cellIs" dxfId="304" priority="661" operator="lessThan">
      <formula>0</formula>
    </cfRule>
    <cfRule type="cellIs" dxfId="303" priority="662" operator="greaterThan">
      <formula>0</formula>
    </cfRule>
  </conditionalFormatting>
  <conditionalFormatting sqref="W62">
    <cfRule type="cellIs" dxfId="302" priority="657" operator="greaterThan">
      <formula>0</formula>
    </cfRule>
    <cfRule type="cellIs" dxfId="301" priority="658" operator="lessThan">
      <formula>0</formula>
    </cfRule>
  </conditionalFormatting>
  <conditionalFormatting sqref="AA62">
    <cfRule type="cellIs" dxfId="300" priority="653" operator="greaterThan">
      <formula>0</formula>
    </cfRule>
    <cfRule type="cellIs" dxfId="299" priority="654" operator="lessThan">
      <formula>0</formula>
    </cfRule>
  </conditionalFormatting>
  <conditionalFormatting sqref="W77">
    <cfRule type="cellIs" dxfId="298" priority="615" operator="greaterThan">
      <formula>0</formula>
    </cfRule>
    <cfRule type="cellIs" dxfId="297" priority="616" operator="lessThan">
      <formula>0</formula>
    </cfRule>
  </conditionalFormatting>
  <conditionalFormatting sqref="M67:M71">
    <cfRule type="cellIs" dxfId="296" priority="647" operator="lessThan">
      <formula>0</formula>
    </cfRule>
    <cfRule type="cellIs" dxfId="295" priority="648" operator="greaterThan">
      <formula>0</formula>
    </cfRule>
  </conditionalFormatting>
  <conditionalFormatting sqref="AB67">
    <cfRule type="cellIs" dxfId="294" priority="645" operator="greaterThan">
      <formula>0</formula>
    </cfRule>
    <cfRule type="cellIs" dxfId="293" priority="646" operator="lessThan">
      <formula>0</formula>
    </cfRule>
  </conditionalFormatting>
  <conditionalFormatting sqref="W67">
    <cfRule type="cellIs" dxfId="292" priority="643" operator="greaterThan">
      <formula>0</formula>
    </cfRule>
    <cfRule type="cellIs" dxfId="291" priority="644" operator="lessThan">
      <formula>0</formula>
    </cfRule>
  </conditionalFormatting>
  <conditionalFormatting sqref="AA67">
    <cfRule type="cellIs" dxfId="290" priority="639" operator="greaterThan">
      <formula>0</formula>
    </cfRule>
    <cfRule type="cellIs" dxfId="289" priority="640" operator="lessThan">
      <formula>0</formula>
    </cfRule>
  </conditionalFormatting>
  <conditionalFormatting sqref="W82">
    <cfRule type="cellIs" dxfId="288" priority="601" operator="greaterThan">
      <formula>0</formula>
    </cfRule>
    <cfRule type="cellIs" dxfId="287" priority="602" operator="lessThan">
      <formula>0</formula>
    </cfRule>
  </conditionalFormatting>
  <conditionalFormatting sqref="M72:M76">
    <cfRule type="cellIs" dxfId="286" priority="633" operator="lessThan">
      <formula>0</formula>
    </cfRule>
    <cfRule type="cellIs" dxfId="285" priority="634" operator="greaterThan">
      <formula>0</formula>
    </cfRule>
  </conditionalFormatting>
  <conditionalFormatting sqref="W72">
    <cfRule type="cellIs" dxfId="284" priority="629" operator="greaterThan">
      <formula>0</formula>
    </cfRule>
    <cfRule type="cellIs" dxfId="283" priority="630" operator="lessThan">
      <formula>0</formula>
    </cfRule>
  </conditionalFormatting>
  <conditionalFormatting sqref="AA72">
    <cfRule type="cellIs" dxfId="282" priority="625" operator="greaterThan">
      <formula>0</formula>
    </cfRule>
    <cfRule type="cellIs" dxfId="281" priority="626" operator="lessThan">
      <formula>0</formula>
    </cfRule>
  </conditionalFormatting>
  <conditionalFormatting sqref="W87">
    <cfRule type="cellIs" dxfId="280" priority="587" operator="greaterThan">
      <formula>0</formula>
    </cfRule>
    <cfRule type="cellIs" dxfId="279" priority="588" operator="lessThan">
      <formula>0</formula>
    </cfRule>
  </conditionalFormatting>
  <conditionalFormatting sqref="V78:W81 V77">
    <cfRule type="cellIs" dxfId="278" priority="621" operator="greaterThan">
      <formula>0</formula>
    </cfRule>
    <cfRule type="cellIs" dxfId="277" priority="622" operator="lessThan">
      <formula>0</formula>
    </cfRule>
  </conditionalFormatting>
  <conditionalFormatting sqref="M77:M81">
    <cfRule type="cellIs" dxfId="276" priority="619" operator="lessThan">
      <formula>0</formula>
    </cfRule>
    <cfRule type="cellIs" dxfId="275" priority="620" operator="greaterThan">
      <formula>0</formula>
    </cfRule>
  </conditionalFormatting>
  <conditionalFormatting sqref="AA77">
    <cfRule type="cellIs" dxfId="274" priority="611" operator="greaterThan">
      <formula>0</formula>
    </cfRule>
    <cfRule type="cellIs" dxfId="273" priority="612" operator="lessThan">
      <formula>0</formula>
    </cfRule>
  </conditionalFormatting>
  <conditionalFormatting sqref="V93:W96 V92">
    <cfRule type="cellIs" dxfId="272" priority="579" operator="greaterThan">
      <formula>0</formula>
    </cfRule>
    <cfRule type="cellIs" dxfId="271" priority="580" operator="lessThan">
      <formula>0</formula>
    </cfRule>
  </conditionalFormatting>
  <conditionalFormatting sqref="V83:X86 V82">
    <cfRule type="cellIs" dxfId="270" priority="607" operator="greaterThan">
      <formula>0</formula>
    </cfRule>
    <cfRule type="cellIs" dxfId="269" priority="608" operator="lessThan">
      <formula>0</formula>
    </cfRule>
  </conditionalFormatting>
  <conditionalFormatting sqref="M82:M86">
    <cfRule type="cellIs" dxfId="268" priority="605" operator="lessThan">
      <formula>0</formula>
    </cfRule>
    <cfRule type="cellIs" dxfId="267" priority="606" operator="greaterThan">
      <formula>0</formula>
    </cfRule>
  </conditionalFormatting>
  <conditionalFormatting sqref="AA82">
    <cfRule type="cellIs" dxfId="266" priority="597" operator="greaterThan">
      <formula>0</formula>
    </cfRule>
    <cfRule type="cellIs" dxfId="265" priority="598" operator="lessThan">
      <formula>0</formula>
    </cfRule>
  </conditionalFormatting>
  <conditionalFormatting sqref="V98:X101 V97">
    <cfRule type="cellIs" dxfId="264" priority="565" operator="greaterThan">
      <formula>0</formula>
    </cfRule>
    <cfRule type="cellIs" dxfId="263" priority="566" operator="lessThan">
      <formula>0</formula>
    </cfRule>
  </conditionalFormatting>
  <conditionalFormatting sqref="V88:W91 V87">
    <cfRule type="cellIs" dxfId="262" priority="593" operator="greaterThan">
      <formula>0</formula>
    </cfRule>
    <cfRule type="cellIs" dxfId="261" priority="594" operator="lessThan">
      <formula>0</formula>
    </cfRule>
  </conditionalFormatting>
  <conditionalFormatting sqref="M87:M91">
    <cfRule type="cellIs" dxfId="260" priority="591" operator="lessThan">
      <formula>0</formula>
    </cfRule>
    <cfRule type="cellIs" dxfId="259" priority="592" operator="greaterThan">
      <formula>0</formula>
    </cfRule>
  </conditionalFormatting>
  <conditionalFormatting sqref="AB87">
    <cfRule type="cellIs" dxfId="258" priority="589" operator="greaterThan">
      <formula>0</formula>
    </cfRule>
    <cfRule type="cellIs" dxfId="257" priority="590" operator="lessThan">
      <formula>0</formula>
    </cfRule>
  </conditionalFormatting>
  <conditionalFormatting sqref="AA87">
    <cfRule type="cellIs" dxfId="256" priority="583" operator="greaterThan">
      <formula>0</formula>
    </cfRule>
    <cfRule type="cellIs" dxfId="255" priority="584" operator="lessThan">
      <formula>0</formula>
    </cfRule>
  </conditionalFormatting>
  <conditionalFormatting sqref="V103:W106 V102">
    <cfRule type="cellIs" dxfId="254" priority="551" operator="greaterThan">
      <formula>0</formula>
    </cfRule>
    <cfRule type="cellIs" dxfId="253" priority="552" operator="lessThan">
      <formula>0</formula>
    </cfRule>
  </conditionalFormatting>
  <conditionalFormatting sqref="M92:M96">
    <cfRule type="cellIs" dxfId="252" priority="577" operator="lessThan">
      <formula>0</formula>
    </cfRule>
    <cfRule type="cellIs" dxfId="251" priority="578" operator="greaterThan">
      <formula>0</formula>
    </cfRule>
  </conditionalFormatting>
  <conditionalFormatting sqref="AB92">
    <cfRule type="cellIs" dxfId="250" priority="575" operator="greaterThan">
      <formula>0</formula>
    </cfRule>
    <cfRule type="cellIs" dxfId="249" priority="576" operator="lessThan">
      <formula>0</formula>
    </cfRule>
  </conditionalFormatting>
  <conditionalFormatting sqref="W92">
    <cfRule type="cellIs" dxfId="248" priority="573" operator="greaterThan">
      <formula>0</formula>
    </cfRule>
    <cfRule type="cellIs" dxfId="247" priority="574" operator="lessThan">
      <formula>0</formula>
    </cfRule>
  </conditionalFormatting>
  <conditionalFormatting sqref="AA92">
    <cfRule type="cellIs" dxfId="246" priority="569" operator="greaterThan">
      <formula>0</formula>
    </cfRule>
    <cfRule type="cellIs" dxfId="245" priority="570" operator="lessThan">
      <formula>0</formula>
    </cfRule>
  </conditionalFormatting>
  <conditionalFormatting sqref="W117">
    <cfRule type="cellIs" dxfId="244" priority="503" operator="greaterThan">
      <formula>0</formula>
    </cfRule>
    <cfRule type="cellIs" dxfId="243" priority="504" operator="lessThan">
      <formula>0</formula>
    </cfRule>
  </conditionalFormatting>
  <conditionalFormatting sqref="M97:M101">
    <cfRule type="cellIs" dxfId="242" priority="563" operator="lessThan">
      <formula>0</formula>
    </cfRule>
    <cfRule type="cellIs" dxfId="241" priority="564" operator="greaterThan">
      <formula>0</formula>
    </cfRule>
  </conditionalFormatting>
  <conditionalFormatting sqref="AB97">
    <cfRule type="cellIs" dxfId="240" priority="561" operator="greaterThan">
      <formula>0</formula>
    </cfRule>
    <cfRule type="cellIs" dxfId="239" priority="562" operator="lessThan">
      <formula>0</formula>
    </cfRule>
  </conditionalFormatting>
  <conditionalFormatting sqref="W97">
    <cfRule type="cellIs" dxfId="238" priority="559" operator="greaterThan">
      <formula>0</formula>
    </cfRule>
    <cfRule type="cellIs" dxfId="237" priority="560" operator="lessThan">
      <formula>0</formula>
    </cfRule>
  </conditionalFormatting>
  <conditionalFormatting sqref="AA97">
    <cfRule type="cellIs" dxfId="236" priority="555" operator="greaterThan">
      <formula>0</formula>
    </cfRule>
    <cfRule type="cellIs" dxfId="235" priority="556" operator="lessThan">
      <formula>0</formula>
    </cfRule>
  </conditionalFormatting>
  <conditionalFormatting sqref="W122">
    <cfRule type="cellIs" dxfId="234" priority="489" operator="greaterThan">
      <formula>0</formula>
    </cfRule>
    <cfRule type="cellIs" dxfId="233" priority="490" operator="lessThan">
      <formula>0</formula>
    </cfRule>
  </conditionalFormatting>
  <conditionalFormatting sqref="M102:M106">
    <cfRule type="cellIs" dxfId="232" priority="549" operator="lessThan">
      <formula>0</formula>
    </cfRule>
    <cfRule type="cellIs" dxfId="231" priority="550" operator="greaterThan">
      <formula>0</formula>
    </cfRule>
  </conditionalFormatting>
  <conditionalFormatting sqref="AB102">
    <cfRule type="cellIs" dxfId="230" priority="547" operator="greaterThan">
      <formula>0</formula>
    </cfRule>
    <cfRule type="cellIs" dxfId="229" priority="548" operator="lessThan">
      <formula>0</formula>
    </cfRule>
  </conditionalFormatting>
  <conditionalFormatting sqref="W102">
    <cfRule type="cellIs" dxfId="228" priority="545" operator="greaterThan">
      <formula>0</formula>
    </cfRule>
    <cfRule type="cellIs" dxfId="227" priority="546" operator="lessThan">
      <formula>0</formula>
    </cfRule>
  </conditionalFormatting>
  <conditionalFormatting sqref="AA102">
    <cfRule type="cellIs" dxfId="226" priority="541" operator="greaterThan">
      <formula>0</formula>
    </cfRule>
    <cfRule type="cellIs" dxfId="225" priority="542" operator="lessThan">
      <formula>0</formula>
    </cfRule>
  </conditionalFormatting>
  <conditionalFormatting sqref="W127">
    <cfRule type="cellIs" dxfId="224" priority="475" operator="greaterThan">
      <formula>0</formula>
    </cfRule>
    <cfRule type="cellIs" dxfId="223" priority="476" operator="lessThan">
      <formula>0</formula>
    </cfRule>
  </conditionalFormatting>
  <conditionalFormatting sqref="V108:W111 V107">
    <cfRule type="cellIs" dxfId="222" priority="537" operator="greaterThan">
      <formula>0</formula>
    </cfRule>
    <cfRule type="cellIs" dxfId="221" priority="538" operator="lessThan">
      <formula>0</formula>
    </cfRule>
  </conditionalFormatting>
  <conditionalFormatting sqref="M107:M111">
    <cfRule type="cellIs" dxfId="220" priority="535" operator="lessThan">
      <formula>0</formula>
    </cfRule>
    <cfRule type="cellIs" dxfId="219" priority="536" operator="greaterThan">
      <formula>0</formula>
    </cfRule>
  </conditionalFormatting>
  <conditionalFormatting sqref="AB107">
    <cfRule type="cellIs" dxfId="218" priority="533" operator="greaterThan">
      <formula>0</formula>
    </cfRule>
    <cfRule type="cellIs" dxfId="217" priority="534" operator="lessThan">
      <formula>0</formula>
    </cfRule>
  </conditionalFormatting>
  <conditionalFormatting sqref="W107">
    <cfRule type="cellIs" dxfId="216" priority="531" operator="greaterThan">
      <formula>0</formula>
    </cfRule>
    <cfRule type="cellIs" dxfId="215" priority="532" operator="lessThan">
      <formula>0</formula>
    </cfRule>
  </conditionalFormatting>
  <conditionalFormatting sqref="AA107">
    <cfRule type="cellIs" dxfId="214" priority="527" operator="greaterThan">
      <formula>0</formula>
    </cfRule>
    <cfRule type="cellIs" dxfId="213" priority="528" operator="lessThan">
      <formula>0</formula>
    </cfRule>
  </conditionalFormatting>
  <conditionalFormatting sqref="V113:X116 V112">
    <cfRule type="cellIs" dxfId="212" priority="523" operator="greaterThan">
      <formula>0</formula>
    </cfRule>
    <cfRule type="cellIs" dxfId="211" priority="524" operator="lessThan">
      <formula>0</formula>
    </cfRule>
  </conditionalFormatting>
  <conditionalFormatting sqref="M112:M116">
    <cfRule type="cellIs" dxfId="210" priority="521" operator="lessThan">
      <formula>0</formula>
    </cfRule>
    <cfRule type="cellIs" dxfId="209" priority="522" operator="greaterThan">
      <formula>0</formula>
    </cfRule>
  </conditionalFormatting>
  <conditionalFormatting sqref="AB112">
    <cfRule type="cellIs" dxfId="208" priority="519" operator="greaterThan">
      <formula>0</formula>
    </cfRule>
    <cfRule type="cellIs" dxfId="207" priority="520" operator="lessThan">
      <formula>0</formula>
    </cfRule>
  </conditionalFormatting>
  <conditionalFormatting sqref="W112">
    <cfRule type="cellIs" dxfId="206" priority="517" operator="greaterThan">
      <formula>0</formula>
    </cfRule>
    <cfRule type="cellIs" dxfId="205" priority="518" operator="lessThan">
      <formula>0</formula>
    </cfRule>
  </conditionalFormatting>
  <conditionalFormatting sqref="AA112">
    <cfRule type="cellIs" dxfId="204" priority="513" operator="greaterThan">
      <formula>0</formula>
    </cfRule>
    <cfRule type="cellIs" dxfId="203" priority="514" operator="lessThan">
      <formula>0</formula>
    </cfRule>
  </conditionalFormatting>
  <conditionalFormatting sqref="V118:W121 V117">
    <cfRule type="cellIs" dxfId="202" priority="509" operator="greaterThan">
      <formula>0</formula>
    </cfRule>
    <cfRule type="cellIs" dxfId="201" priority="510" operator="lessThan">
      <formula>0</formula>
    </cfRule>
  </conditionalFormatting>
  <conditionalFormatting sqref="M117:M121">
    <cfRule type="cellIs" dxfId="200" priority="507" operator="lessThan">
      <formula>0</formula>
    </cfRule>
    <cfRule type="cellIs" dxfId="199" priority="508" operator="greaterThan">
      <formula>0</formula>
    </cfRule>
  </conditionalFormatting>
  <conditionalFormatting sqref="AB117">
    <cfRule type="cellIs" dxfId="198" priority="505" operator="greaterThan">
      <formula>0</formula>
    </cfRule>
    <cfRule type="cellIs" dxfId="197" priority="506" operator="lessThan">
      <formula>0</formula>
    </cfRule>
  </conditionalFormatting>
  <conditionalFormatting sqref="AA127">
    <cfRule type="cellIs" dxfId="196" priority="471" operator="greaterThan">
      <formula>0</formula>
    </cfRule>
    <cfRule type="cellIs" dxfId="195" priority="472" operator="lessThan">
      <formula>0</formula>
    </cfRule>
  </conditionalFormatting>
  <conditionalFormatting sqref="AA117">
    <cfRule type="cellIs" dxfId="194" priority="499" operator="greaterThan">
      <formula>0</formula>
    </cfRule>
    <cfRule type="cellIs" dxfId="193" priority="500" operator="lessThan">
      <formula>0</formula>
    </cfRule>
  </conditionalFormatting>
  <conditionalFormatting sqref="V123:W126 V122">
    <cfRule type="cellIs" dxfId="192" priority="495" operator="greaterThan">
      <formula>0</formula>
    </cfRule>
    <cfRule type="cellIs" dxfId="191" priority="496" operator="lessThan">
      <formula>0</formula>
    </cfRule>
  </conditionalFormatting>
  <conditionalFormatting sqref="M122:M126">
    <cfRule type="cellIs" dxfId="190" priority="493" operator="lessThan">
      <formula>0</formula>
    </cfRule>
    <cfRule type="cellIs" dxfId="189" priority="494" operator="greaterThan">
      <formula>0</formula>
    </cfRule>
  </conditionalFormatting>
  <conditionalFormatting sqref="AB122">
    <cfRule type="cellIs" dxfId="188" priority="491" operator="greaterThan">
      <formula>0</formula>
    </cfRule>
    <cfRule type="cellIs" dxfId="187" priority="492" operator="lessThan">
      <formula>0</formula>
    </cfRule>
  </conditionalFormatting>
  <conditionalFormatting sqref="AA132">
    <cfRule type="cellIs" dxfId="186" priority="457" operator="greaterThan">
      <formula>0</formula>
    </cfRule>
    <cfRule type="cellIs" dxfId="185" priority="458" operator="lessThan">
      <formula>0</formula>
    </cfRule>
  </conditionalFormatting>
  <conditionalFormatting sqref="AA122">
    <cfRule type="cellIs" dxfId="184" priority="485" operator="greaterThan">
      <formula>0</formula>
    </cfRule>
    <cfRule type="cellIs" dxfId="183" priority="486" operator="lessThan">
      <formula>0</formula>
    </cfRule>
  </conditionalFormatting>
  <conditionalFormatting sqref="V128:X131 V127">
    <cfRule type="cellIs" dxfId="182" priority="481" operator="greaterThan">
      <formula>0</formula>
    </cfRule>
    <cfRule type="cellIs" dxfId="181" priority="482" operator="lessThan">
      <formula>0</formula>
    </cfRule>
  </conditionalFormatting>
  <conditionalFormatting sqref="M127:M131">
    <cfRule type="cellIs" dxfId="180" priority="479" operator="lessThan">
      <formula>0</formula>
    </cfRule>
    <cfRule type="cellIs" dxfId="179" priority="480" operator="greaterThan">
      <formula>0</formula>
    </cfRule>
  </conditionalFormatting>
  <conditionalFormatting sqref="AB127">
    <cfRule type="cellIs" dxfId="178" priority="477" operator="greaterThan">
      <formula>0</formula>
    </cfRule>
    <cfRule type="cellIs" dxfId="177" priority="478" operator="lessThan">
      <formula>0</formula>
    </cfRule>
  </conditionalFormatting>
  <conditionalFormatting sqref="AA137">
    <cfRule type="cellIs" dxfId="176" priority="443" operator="greaterThan">
      <formula>0</formula>
    </cfRule>
    <cfRule type="cellIs" dxfId="175" priority="444" operator="lessThan">
      <formula>0</formula>
    </cfRule>
  </conditionalFormatting>
  <conditionalFormatting sqref="V133:W136 V132">
    <cfRule type="cellIs" dxfId="174" priority="467" operator="greaterThan">
      <formula>0</formula>
    </cfRule>
    <cfRule type="cellIs" dxfId="173" priority="468" operator="lessThan">
      <formula>0</formula>
    </cfRule>
  </conditionalFormatting>
  <conditionalFormatting sqref="M132:M136">
    <cfRule type="cellIs" dxfId="172" priority="465" operator="lessThan">
      <formula>0</formula>
    </cfRule>
    <cfRule type="cellIs" dxfId="171" priority="466" operator="greaterThan">
      <formula>0</formula>
    </cfRule>
  </conditionalFormatting>
  <conditionalFormatting sqref="AB132">
    <cfRule type="cellIs" dxfId="170" priority="463" operator="greaterThan">
      <formula>0</formula>
    </cfRule>
    <cfRule type="cellIs" dxfId="169" priority="464" operator="lessThan">
      <formula>0</formula>
    </cfRule>
  </conditionalFormatting>
  <conditionalFormatting sqref="W132">
    <cfRule type="cellIs" dxfId="168" priority="461" operator="greaterThan">
      <formula>0</formula>
    </cfRule>
    <cfRule type="cellIs" dxfId="167" priority="462" operator="lessThan">
      <formula>0</formula>
    </cfRule>
  </conditionalFormatting>
  <conditionalFormatting sqref="V143:X146 V142">
    <cfRule type="cellIs" dxfId="166" priority="439" operator="greaterThan">
      <formula>0</formula>
    </cfRule>
    <cfRule type="cellIs" dxfId="165" priority="440" operator="lessThan">
      <formula>0</formula>
    </cfRule>
  </conditionalFormatting>
  <conditionalFormatting sqref="V138:W141 V137">
    <cfRule type="cellIs" dxfId="164" priority="453" operator="greaterThan">
      <formula>0</formula>
    </cfRule>
    <cfRule type="cellIs" dxfId="163" priority="454" operator="lessThan">
      <formula>0</formula>
    </cfRule>
  </conditionalFormatting>
  <conditionalFormatting sqref="M137:M141">
    <cfRule type="cellIs" dxfId="162" priority="451" operator="lessThan">
      <formula>0</formula>
    </cfRule>
    <cfRule type="cellIs" dxfId="161" priority="452" operator="greaterThan">
      <formula>0</formula>
    </cfRule>
  </conditionalFormatting>
  <conditionalFormatting sqref="AB137">
    <cfRule type="cellIs" dxfId="160" priority="449" operator="greaterThan">
      <formula>0</formula>
    </cfRule>
    <cfRule type="cellIs" dxfId="159" priority="450" operator="lessThan">
      <formula>0</formula>
    </cfRule>
  </conditionalFormatting>
  <conditionalFormatting sqref="W137">
    <cfRule type="cellIs" dxfId="158" priority="447" operator="greaterThan">
      <formula>0</formula>
    </cfRule>
    <cfRule type="cellIs" dxfId="157" priority="448" operator="lessThan">
      <formula>0</formula>
    </cfRule>
  </conditionalFormatting>
  <conditionalFormatting sqref="AB2">
    <cfRule type="cellIs" dxfId="156" priority="425" operator="greaterThan">
      <formula>0</formula>
    </cfRule>
    <cfRule type="cellIs" dxfId="155" priority="426" operator="lessThan">
      <formula>0</formula>
    </cfRule>
  </conditionalFormatting>
  <conditionalFormatting sqref="AB142">
    <cfRule type="cellIs" dxfId="154" priority="435" operator="greaterThan">
      <formula>0</formula>
    </cfRule>
    <cfRule type="cellIs" dxfId="153" priority="436" operator="lessThan">
      <formula>0</formula>
    </cfRule>
  </conditionalFormatting>
  <conditionalFormatting sqref="M142:M146">
    <cfRule type="cellIs" dxfId="152" priority="437" operator="lessThan">
      <formula>0</formula>
    </cfRule>
    <cfRule type="cellIs" dxfId="151" priority="438" operator="greaterThan">
      <formula>0</formula>
    </cfRule>
  </conditionalFormatting>
  <conditionalFormatting sqref="W142">
    <cfRule type="cellIs" dxfId="150" priority="433" operator="greaterThan">
      <formula>0</formula>
    </cfRule>
    <cfRule type="cellIs" dxfId="149" priority="434" operator="lessThan">
      <formula>0</formula>
    </cfRule>
  </conditionalFormatting>
  <conditionalFormatting sqref="AA142">
    <cfRule type="cellIs" dxfId="148" priority="429" operator="greaterThan">
      <formula>0</formula>
    </cfRule>
    <cfRule type="cellIs" dxfId="147" priority="430" operator="lessThan">
      <formula>0</formula>
    </cfRule>
  </conditionalFormatting>
  <conditionalFormatting sqref="X2">
    <cfRule type="cellIs" dxfId="146" priority="421" operator="greaterThan">
      <formula>0</formula>
    </cfRule>
    <cfRule type="cellIs" dxfId="145" priority="422" operator="lessThan">
      <formula>0</formula>
    </cfRule>
  </conditionalFormatting>
  <conditionalFormatting sqref="AA2">
    <cfRule type="cellIs" dxfId="144" priority="423" operator="greaterThan">
      <formula>0</formula>
    </cfRule>
    <cfRule type="cellIs" dxfId="143" priority="424" operator="lessThan">
      <formula>0</formula>
    </cfRule>
  </conditionalFormatting>
  <conditionalFormatting sqref="X12">
    <cfRule type="cellIs" dxfId="142" priority="419" operator="greaterThan">
      <formula>0</formula>
    </cfRule>
    <cfRule type="cellIs" dxfId="141" priority="420" operator="lessThan">
      <formula>0</formula>
    </cfRule>
  </conditionalFormatting>
  <conditionalFormatting sqref="X73:X76">
    <cfRule type="cellIs" dxfId="140" priority="69" operator="greaterThan">
      <formula>0</formula>
    </cfRule>
    <cfRule type="cellIs" dxfId="139" priority="70" operator="lessThan">
      <formula>0</formula>
    </cfRule>
  </conditionalFormatting>
  <conditionalFormatting sqref="X43:X46">
    <cfRule type="cellIs" dxfId="138" priority="89" operator="greaterThan">
      <formula>0</formula>
    </cfRule>
    <cfRule type="cellIs" dxfId="137" priority="90" operator="lessThan">
      <formula>0</formula>
    </cfRule>
  </conditionalFormatting>
  <conditionalFormatting sqref="X32">
    <cfRule type="cellIs" dxfId="136" priority="93" operator="greaterThan">
      <formula>0</formula>
    </cfRule>
    <cfRule type="cellIs" dxfId="135" priority="94" operator="lessThan">
      <formula>0</formula>
    </cfRule>
  </conditionalFormatting>
  <conditionalFormatting sqref="X33:X36">
    <cfRule type="cellIs" dxfId="134" priority="97" operator="greaterThan">
      <formula>0</formula>
    </cfRule>
    <cfRule type="cellIs" dxfId="133" priority="98" operator="lessThan">
      <formula>0</formula>
    </cfRule>
  </conditionalFormatting>
  <conditionalFormatting sqref="X22">
    <cfRule type="cellIs" dxfId="132" priority="101" operator="greaterThan">
      <formula>0</formula>
    </cfRule>
    <cfRule type="cellIs" dxfId="131" priority="102" operator="lessThan">
      <formula>0</formula>
    </cfRule>
  </conditionalFormatting>
  <conditionalFormatting sqref="X17">
    <cfRule type="cellIs" dxfId="130" priority="103" operator="greaterThan">
      <formula>0</formula>
    </cfRule>
    <cfRule type="cellIs" dxfId="129" priority="104" operator="lessThan">
      <formula>0</formula>
    </cfRule>
  </conditionalFormatting>
  <conditionalFormatting sqref="AA149:AB151">
    <cfRule type="cellIs" dxfId="128" priority="307" operator="greaterThan">
      <formula>0</formula>
    </cfRule>
    <cfRule type="cellIs" dxfId="127" priority="308" operator="lessThan">
      <formula>0</formula>
    </cfRule>
  </conditionalFormatting>
  <conditionalFormatting sqref="AB147">
    <cfRule type="cellIs" dxfId="126" priority="303" operator="greaterThan">
      <formula>0</formula>
    </cfRule>
    <cfRule type="cellIs" dxfId="125" priority="304" operator="lessThan">
      <formula>0</formula>
    </cfRule>
  </conditionalFormatting>
  <conditionalFormatting sqref="W148:W151">
    <cfRule type="cellIs" dxfId="124" priority="305" operator="greaterThan">
      <formula>0</formula>
    </cfRule>
    <cfRule type="cellIs" dxfId="123" priority="306" operator="lessThan">
      <formula>0</formula>
    </cfRule>
  </conditionalFormatting>
  <conditionalFormatting sqref="W147">
    <cfRule type="cellIs" dxfId="122" priority="301" operator="greaterThan">
      <formula>0</formula>
    </cfRule>
    <cfRule type="cellIs" dxfId="121" priority="302" operator="lessThan">
      <formula>0</formula>
    </cfRule>
  </conditionalFormatting>
  <conditionalFormatting sqref="AA147">
    <cfRule type="cellIs" dxfId="120" priority="297" operator="greaterThan">
      <formula>0</formula>
    </cfRule>
    <cfRule type="cellIs" dxfId="119" priority="298" operator="lessThan">
      <formula>0</formula>
    </cfRule>
  </conditionalFormatting>
  <conditionalFormatting sqref="X147">
    <cfRule type="cellIs" dxfId="118" priority="15" operator="greaterThan">
      <formula>0</formula>
    </cfRule>
    <cfRule type="cellIs" dxfId="117" priority="16" operator="lessThan">
      <formula>0</formula>
    </cfRule>
  </conditionalFormatting>
  <conditionalFormatting sqref="X28:X31">
    <cfRule type="cellIs" dxfId="116" priority="99" operator="greaterThan">
      <formula>0</formula>
    </cfRule>
    <cfRule type="cellIs" dxfId="115" priority="100" operator="lessThan">
      <formula>0</formula>
    </cfRule>
  </conditionalFormatting>
  <conditionalFormatting sqref="X27">
    <cfRule type="cellIs" dxfId="114" priority="95" operator="greaterThan">
      <formula>0</formula>
    </cfRule>
    <cfRule type="cellIs" dxfId="113" priority="96" operator="lessThan">
      <formula>0</formula>
    </cfRule>
  </conditionalFormatting>
  <conditionalFormatting sqref="X37">
    <cfRule type="cellIs" dxfId="112" priority="91" operator="greaterThan">
      <formula>0</formula>
    </cfRule>
    <cfRule type="cellIs" dxfId="111" priority="92" operator="lessThan">
      <formula>0</formula>
    </cfRule>
  </conditionalFormatting>
  <conditionalFormatting sqref="X48:X51">
    <cfRule type="cellIs" dxfId="110" priority="87" operator="greaterThan">
      <formula>0</formula>
    </cfRule>
    <cfRule type="cellIs" dxfId="109" priority="88" operator="lessThan">
      <formula>0</formula>
    </cfRule>
  </conditionalFormatting>
  <conditionalFormatting sqref="X42">
    <cfRule type="cellIs" dxfId="108" priority="85" operator="greaterThan">
      <formula>0</formula>
    </cfRule>
    <cfRule type="cellIs" dxfId="107" priority="86" operator="lessThan">
      <formula>0</formula>
    </cfRule>
  </conditionalFormatting>
  <conditionalFormatting sqref="X47">
    <cfRule type="cellIs" dxfId="106" priority="83" operator="greaterThan">
      <formula>0</formula>
    </cfRule>
    <cfRule type="cellIs" dxfId="105" priority="84" operator="lessThan">
      <formula>0</formula>
    </cfRule>
  </conditionalFormatting>
  <conditionalFormatting sqref="X52">
    <cfRule type="cellIs" dxfId="104" priority="81" operator="greaterThan">
      <formula>0</formula>
    </cfRule>
    <cfRule type="cellIs" dxfId="103" priority="82" operator="lessThan">
      <formula>0</formula>
    </cfRule>
  </conditionalFormatting>
  <conditionalFormatting sqref="X58:X61">
    <cfRule type="cellIs" dxfId="102" priority="79" operator="greaterThan">
      <formula>0</formula>
    </cfRule>
    <cfRule type="cellIs" dxfId="101" priority="80" operator="lessThan">
      <formula>0</formula>
    </cfRule>
  </conditionalFormatting>
  <conditionalFormatting sqref="X63:X66">
    <cfRule type="cellIs" dxfId="100" priority="77" operator="greaterThan">
      <formula>0</formula>
    </cfRule>
    <cfRule type="cellIs" dxfId="99" priority="78" operator="lessThan">
      <formula>0</formula>
    </cfRule>
  </conditionalFormatting>
  <conditionalFormatting sqref="X57">
    <cfRule type="cellIs" dxfId="98" priority="75" operator="greaterThan">
      <formula>0</formula>
    </cfRule>
    <cfRule type="cellIs" dxfId="97" priority="76" operator="lessThan">
      <formula>0</formula>
    </cfRule>
  </conditionalFormatting>
  <conditionalFormatting sqref="X62">
    <cfRule type="cellIs" dxfId="96" priority="73" operator="greaterThan">
      <formula>0</formula>
    </cfRule>
    <cfRule type="cellIs" dxfId="95" priority="74" operator="lessThan">
      <formula>0</formula>
    </cfRule>
  </conditionalFormatting>
  <conditionalFormatting sqref="X67">
    <cfRule type="cellIs" dxfId="94" priority="71" operator="greaterThan">
      <formula>0</formula>
    </cfRule>
    <cfRule type="cellIs" dxfId="93" priority="72" operator="lessThan">
      <formula>0</formula>
    </cfRule>
  </conditionalFormatting>
  <conditionalFormatting sqref="X78:X81">
    <cfRule type="cellIs" dxfId="92" priority="67" operator="greaterThan">
      <formula>0</formula>
    </cfRule>
    <cfRule type="cellIs" dxfId="91" priority="68" operator="lessThan">
      <formula>0</formula>
    </cfRule>
  </conditionalFormatting>
  <conditionalFormatting sqref="X72">
    <cfRule type="cellIs" dxfId="90" priority="65" operator="greaterThan">
      <formula>0</formula>
    </cfRule>
    <cfRule type="cellIs" dxfId="89" priority="66" operator="lessThan">
      <formula>0</formula>
    </cfRule>
  </conditionalFormatting>
  <conditionalFormatting sqref="X77">
    <cfRule type="cellIs" dxfId="88" priority="63" operator="greaterThan">
      <formula>0</formula>
    </cfRule>
    <cfRule type="cellIs" dxfId="87" priority="64" operator="lessThan">
      <formula>0</formula>
    </cfRule>
  </conditionalFormatting>
  <conditionalFormatting sqref="X82">
    <cfRule type="cellIs" dxfId="86" priority="61" operator="greaterThan">
      <formula>0</formula>
    </cfRule>
    <cfRule type="cellIs" dxfId="85" priority="62" operator="lessThan">
      <formula>0</formula>
    </cfRule>
  </conditionalFormatting>
  <conditionalFormatting sqref="X88:X91">
    <cfRule type="cellIs" dxfId="84" priority="59" operator="greaterThan">
      <formula>0</formula>
    </cfRule>
    <cfRule type="cellIs" dxfId="83" priority="60" operator="lessThan">
      <formula>0</formula>
    </cfRule>
  </conditionalFormatting>
  <conditionalFormatting sqref="X93:X96">
    <cfRule type="cellIs" dxfId="82" priority="57" operator="greaterThan">
      <formula>0</formula>
    </cfRule>
    <cfRule type="cellIs" dxfId="81" priority="58" operator="lessThan">
      <formula>0</formula>
    </cfRule>
  </conditionalFormatting>
  <conditionalFormatting sqref="X87">
    <cfRule type="cellIs" dxfId="80" priority="55" operator="greaterThan">
      <formula>0</formula>
    </cfRule>
    <cfRule type="cellIs" dxfId="79" priority="56" operator="lessThan">
      <formula>0</formula>
    </cfRule>
  </conditionalFormatting>
  <conditionalFormatting sqref="X92">
    <cfRule type="cellIs" dxfId="78" priority="53" operator="greaterThan">
      <formula>0</formula>
    </cfRule>
    <cfRule type="cellIs" dxfId="77" priority="54" operator="lessThan">
      <formula>0</formula>
    </cfRule>
  </conditionalFormatting>
  <conditionalFormatting sqref="X97">
    <cfRule type="cellIs" dxfId="76" priority="51" operator="greaterThan">
      <formula>0</formula>
    </cfRule>
    <cfRule type="cellIs" dxfId="75" priority="52" operator="lessThan">
      <formula>0</formula>
    </cfRule>
  </conditionalFormatting>
  <conditionalFormatting sqref="X103:X106">
    <cfRule type="cellIs" dxfId="74" priority="49" operator="greaterThan">
      <formula>0</formula>
    </cfRule>
    <cfRule type="cellIs" dxfId="73" priority="50" operator="lessThan">
      <formula>0</formula>
    </cfRule>
  </conditionalFormatting>
  <conditionalFormatting sqref="X108:X111">
    <cfRule type="cellIs" dxfId="72" priority="47" operator="greaterThan">
      <formula>0</formula>
    </cfRule>
    <cfRule type="cellIs" dxfId="71" priority="48" operator="lessThan">
      <formula>0</formula>
    </cfRule>
  </conditionalFormatting>
  <conditionalFormatting sqref="X102">
    <cfRule type="cellIs" dxfId="70" priority="45" operator="greaterThan">
      <formula>0</formula>
    </cfRule>
    <cfRule type="cellIs" dxfId="69" priority="46" operator="lessThan">
      <formula>0</formula>
    </cfRule>
  </conditionalFormatting>
  <conditionalFormatting sqref="X107">
    <cfRule type="cellIs" dxfId="68" priority="43" operator="greaterThan">
      <formula>0</formula>
    </cfRule>
    <cfRule type="cellIs" dxfId="67" priority="44" operator="lessThan">
      <formula>0</formula>
    </cfRule>
  </conditionalFormatting>
  <conditionalFormatting sqref="X112">
    <cfRule type="cellIs" dxfId="66" priority="41" operator="greaterThan">
      <formula>0</formula>
    </cfRule>
    <cfRule type="cellIs" dxfId="65" priority="42" operator="lessThan">
      <formula>0</formula>
    </cfRule>
  </conditionalFormatting>
  <conditionalFormatting sqref="X118:X121">
    <cfRule type="cellIs" dxfId="64" priority="39" operator="greaterThan">
      <formula>0</formula>
    </cfRule>
    <cfRule type="cellIs" dxfId="63" priority="40" operator="lessThan">
      <formula>0</formula>
    </cfRule>
  </conditionalFormatting>
  <conditionalFormatting sqref="X123:X126">
    <cfRule type="cellIs" dxfId="62" priority="37" operator="greaterThan">
      <formula>0</formula>
    </cfRule>
    <cfRule type="cellIs" dxfId="61" priority="38" operator="lessThan">
      <formula>0</formula>
    </cfRule>
  </conditionalFormatting>
  <conditionalFormatting sqref="X117">
    <cfRule type="cellIs" dxfId="60" priority="35" operator="greaterThan">
      <formula>0</formula>
    </cfRule>
    <cfRule type="cellIs" dxfId="59" priority="36" operator="lessThan">
      <formula>0</formula>
    </cfRule>
  </conditionalFormatting>
  <conditionalFormatting sqref="X122">
    <cfRule type="cellIs" dxfId="58" priority="33" operator="greaterThan">
      <formula>0</formula>
    </cfRule>
    <cfRule type="cellIs" dxfId="57" priority="34" operator="lessThan">
      <formula>0</formula>
    </cfRule>
  </conditionalFormatting>
  <conditionalFormatting sqref="X127">
    <cfRule type="cellIs" dxfId="56" priority="31" operator="greaterThan">
      <formula>0</formula>
    </cfRule>
    <cfRule type="cellIs" dxfId="55" priority="32" operator="lessThan">
      <formula>0</formula>
    </cfRule>
  </conditionalFormatting>
  <conditionalFormatting sqref="X133:X136">
    <cfRule type="cellIs" dxfId="54" priority="29" operator="greaterThan">
      <formula>0</formula>
    </cfRule>
    <cfRule type="cellIs" dxfId="53" priority="30" operator="lessThan">
      <formula>0</formula>
    </cfRule>
  </conditionalFormatting>
  <conditionalFormatting sqref="X138:X141">
    <cfRule type="cellIs" dxfId="52" priority="27" operator="greaterThan">
      <formula>0</formula>
    </cfRule>
    <cfRule type="cellIs" dxfId="51" priority="28" operator="lessThan">
      <formula>0</formula>
    </cfRule>
  </conditionalFormatting>
  <conditionalFormatting sqref="X132">
    <cfRule type="cellIs" dxfId="50" priority="25" operator="greaterThan">
      <formula>0</formula>
    </cfRule>
    <cfRule type="cellIs" dxfId="49" priority="26" operator="lessThan">
      <formula>0</formula>
    </cfRule>
  </conditionalFormatting>
  <conditionalFormatting sqref="X137">
    <cfRule type="cellIs" dxfId="48" priority="23" operator="greaterThan">
      <formula>0</formula>
    </cfRule>
    <cfRule type="cellIs" dxfId="47" priority="24" operator="lessThan">
      <formula>0</formula>
    </cfRule>
  </conditionalFormatting>
  <conditionalFormatting sqref="X142">
    <cfRule type="cellIs" dxfId="46" priority="21" operator="greaterThan">
      <formula>0</formula>
    </cfRule>
    <cfRule type="cellIs" dxfId="45" priority="22" operator="lessThan">
      <formula>0</formula>
    </cfRule>
  </conditionalFormatting>
  <conditionalFormatting sqref="X148:X151">
    <cfRule type="cellIs" dxfId="44" priority="19" operator="greaterThan">
      <formula>0</formula>
    </cfRule>
    <cfRule type="cellIs" dxfId="43" priority="20" operator="lessThan">
      <formula>0</formula>
    </cfRule>
  </conditionalFormatting>
  <conditionalFormatting sqref="Z7">
    <cfRule type="cellIs" dxfId="42" priority="9" operator="greaterThan">
      <formula>0</formula>
    </cfRule>
    <cfRule type="cellIs" dxfId="41" priority="10" operator="lessThan">
      <formula>0</formula>
    </cfRule>
  </conditionalFormatting>
  <conditionalFormatting sqref="Z12">
    <cfRule type="cellIs" dxfId="40" priority="7" operator="greaterThan">
      <formula>0</formula>
    </cfRule>
    <cfRule type="cellIs" dxfId="39" priority="8" operator="lessThan">
      <formula>0</formula>
    </cfRule>
  </conditionalFormatting>
  <conditionalFormatting sqref="Z18:Z21 Z23:Z26 Z28:Z31 Z33:Z36 Z38:Z41 Z43:Z46 Z48:Z51 Z53:Z56 Z58:Z61 Z63:Z66 Z68:Z71 Z73:Z76 Z78:Z81 Z83:Z86 Z88:Z91 Z93:Z96 Z98:Z101 Z103:Z106 Z108:Z111 Z113:Z116 Z118:Z121 Z123:Z126 Z128:Z131 Z133:Z136 Z138:Z141 Z143:Z146 Z148:Z151">
    <cfRule type="cellIs" dxfId="38" priority="5" operator="greaterThan">
      <formula>0</formula>
    </cfRule>
    <cfRule type="cellIs" dxfId="37" priority="6" operator="lessThan">
      <formula>0</formula>
    </cfRule>
  </conditionalFormatting>
  <conditionalFormatting sqref="Z17 Z22 Z27 Z32 Z37 Z42 Z47 Z52 Z57 Z62 Z67 Z72 Z77 Z82 Z87 Z92 Z97 Z102 Z107 Z112 Z117 Z122 Z127 Z132 Z137 Z142 Z147">
    <cfRule type="cellIs" dxfId="36" priority="3" operator="greaterThan">
      <formula>0</formula>
    </cfRule>
    <cfRule type="cellIs" dxfId="35" priority="4" operator="lessThan">
      <formula>0</formula>
    </cfRule>
  </conditionalFormatting>
  <conditionalFormatting sqref="Y7:Y151">
    <cfRule type="cellIs" dxfId="34" priority="1" operator="greaterThan">
      <formula>0</formula>
    </cfRule>
    <cfRule type="cellIs" dxfId="33" priority="2" operator="lessThan">
      <formula>0</formula>
    </cfRule>
  </conditionalFormatting>
  <dataValidations count="2">
    <dataValidation type="list" allowBlank="1" showInputMessage="1" showErrorMessage="1" sqref="E2:E151" xr:uid="{8D91CB62-51D7-4870-B63C-0AEDCD6BBB91}">
      <formula1>$AH$2:$AH$3</formula1>
    </dataValidation>
    <dataValidation type="list" allowBlank="1" showInputMessage="1" showErrorMessage="1" sqref="H2:H151" xr:uid="{B16CBB60-03EE-41D8-B55F-1E4967EA0157}">
      <formula1>$AI$2:$AI$7</formula1>
    </dataValidation>
  </dataValidations>
  <pageMargins left="0.7" right="0.7" top="0.75" bottom="0.75" header="0" footer="0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BE93F-2564-4FC9-9B9F-784F3F1EFB77}">
  <sheetPr codeName="Hoja4"/>
  <dimension ref="A1:Z16"/>
  <sheetViews>
    <sheetView workbookViewId="0">
      <selection activeCell="A5" sqref="A5"/>
    </sheetView>
  </sheetViews>
  <sheetFormatPr baseColWidth="10" defaultRowHeight="14" x14ac:dyDescent="0.3"/>
  <cols>
    <col min="1" max="1" width="12.83203125" bestFit="1" customWidth="1"/>
    <col min="2" max="2" width="13.33203125" bestFit="1" customWidth="1"/>
    <col min="3" max="3" width="8.25" bestFit="1" customWidth="1"/>
    <col min="4" max="4" width="0.75" customWidth="1"/>
    <col min="5" max="5" width="4.83203125" bestFit="1" customWidth="1"/>
    <col min="6" max="6" width="1.08203125" customWidth="1"/>
    <col min="7" max="7" width="3.33203125" customWidth="1"/>
    <col min="8" max="8" width="0.75" customWidth="1"/>
    <col min="9" max="9" width="0.5" customWidth="1"/>
    <col min="10" max="10" width="6.25" bestFit="1" customWidth="1"/>
    <col min="11" max="11" width="9.83203125" bestFit="1" customWidth="1"/>
    <col min="12" max="12" width="5.33203125" customWidth="1"/>
    <col min="13" max="13" width="0.58203125" customWidth="1"/>
    <col min="14" max="14" width="7.75" bestFit="1" customWidth="1"/>
    <col min="15" max="20" width="0.5" customWidth="1"/>
    <col min="21" max="21" width="11.25" bestFit="1" customWidth="1"/>
    <col min="22" max="22" width="16" bestFit="1" customWidth="1"/>
    <col min="23" max="23" width="7" bestFit="1" customWidth="1"/>
    <col min="24" max="25" width="4.83203125" bestFit="1" customWidth="1"/>
  </cols>
  <sheetData>
    <row r="1" spans="1:26" x14ac:dyDescent="0.3">
      <c r="A1" s="64"/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 t="s">
        <v>69</v>
      </c>
    </row>
    <row r="2" spans="1:26" x14ac:dyDescent="0.3">
      <c r="A2" s="64" t="s">
        <v>47</v>
      </c>
      <c r="B2" s="64" t="s">
        <v>48</v>
      </c>
      <c r="C2" s="64" t="s">
        <v>49</v>
      </c>
      <c r="D2" s="64" t="s">
        <v>50</v>
      </c>
      <c r="E2" s="64" t="s">
        <v>51</v>
      </c>
      <c r="F2" s="64" t="s">
        <v>52</v>
      </c>
      <c r="G2" s="64" t="s">
        <v>53</v>
      </c>
      <c r="H2" s="64" t="s">
        <v>54</v>
      </c>
      <c r="I2" s="64" t="s">
        <v>55</v>
      </c>
      <c r="J2" s="64" t="s">
        <v>56</v>
      </c>
      <c r="K2" s="64" t="s">
        <v>57</v>
      </c>
      <c r="L2" s="64" t="s">
        <v>58</v>
      </c>
      <c r="M2" s="64" t="s">
        <v>59</v>
      </c>
      <c r="N2" s="64" t="s">
        <v>60</v>
      </c>
      <c r="O2" s="64" t="s">
        <v>61</v>
      </c>
      <c r="P2" s="64" t="s">
        <v>62</v>
      </c>
      <c r="Q2" s="64" t="s">
        <v>63</v>
      </c>
      <c r="R2" s="64" t="s">
        <v>64</v>
      </c>
      <c r="S2" s="64" t="s">
        <v>65</v>
      </c>
      <c r="T2" s="64" t="s">
        <v>66</v>
      </c>
      <c r="U2" s="64" t="s">
        <v>67</v>
      </c>
      <c r="V2" s="64" t="s">
        <v>68</v>
      </c>
      <c r="W2" s="64" t="s">
        <v>70</v>
      </c>
      <c r="X2" s="64" t="s">
        <v>71</v>
      </c>
      <c r="Y2" s="64" t="s">
        <v>72</v>
      </c>
      <c r="Z2" s="64">
        <v>2667</v>
      </c>
    </row>
    <row r="3" spans="1:26" x14ac:dyDescent="0.3">
      <c r="A3" s="65"/>
      <c r="B3" s="65"/>
      <c r="C3" s="64"/>
      <c r="D3" s="64"/>
      <c r="E3" s="64"/>
      <c r="F3" s="64"/>
      <c r="G3" s="64"/>
      <c r="H3" s="64"/>
      <c r="I3" s="64"/>
      <c r="J3" s="64"/>
      <c r="K3" s="66"/>
      <c r="L3" s="64"/>
      <c r="M3" s="64"/>
      <c r="N3" s="64"/>
      <c r="O3" s="64"/>
      <c r="P3" s="64"/>
      <c r="Q3" s="64"/>
      <c r="R3" s="64"/>
      <c r="S3" s="64"/>
      <c r="T3" s="64"/>
      <c r="U3" s="67"/>
      <c r="V3" s="68"/>
      <c r="W3" s="66"/>
      <c r="X3" s="64"/>
      <c r="Y3" s="64"/>
      <c r="Z3" s="64"/>
    </row>
    <row r="4" spans="1:26" x14ac:dyDescent="0.3">
      <c r="A4" s="65"/>
      <c r="B4" s="65"/>
      <c r="C4" s="64"/>
      <c r="D4" s="64"/>
      <c r="E4" s="64"/>
      <c r="F4" s="64"/>
      <c r="G4" s="64"/>
      <c r="H4" s="64"/>
      <c r="I4" s="64"/>
      <c r="J4" s="64"/>
      <c r="K4" s="66"/>
      <c r="L4" s="64"/>
      <c r="M4" s="64"/>
      <c r="N4" s="64"/>
      <c r="O4" s="64"/>
      <c r="P4" s="64"/>
      <c r="Q4" s="64"/>
      <c r="R4" s="64"/>
      <c r="S4" s="64"/>
      <c r="T4" s="64"/>
      <c r="U4" s="67"/>
      <c r="V4" s="68"/>
      <c r="W4" s="64"/>
      <c r="X4" s="64"/>
      <c r="Y4" s="64"/>
      <c r="Z4" s="64"/>
    </row>
    <row r="5" spans="1:26" x14ac:dyDescent="0.3">
      <c r="A5" s="65"/>
      <c r="B5" s="65"/>
      <c r="C5" s="64"/>
      <c r="D5" s="64"/>
      <c r="E5" s="64"/>
      <c r="F5" s="64"/>
      <c r="G5" s="64"/>
      <c r="H5" s="64"/>
      <c r="I5" s="64"/>
      <c r="J5" s="64"/>
      <c r="K5" s="66"/>
      <c r="L5" s="64"/>
      <c r="M5" s="64"/>
      <c r="N5" s="64"/>
      <c r="O5" s="64"/>
      <c r="P5" s="64"/>
      <c r="Q5" s="64"/>
      <c r="R5" s="64"/>
      <c r="S5" s="64"/>
      <c r="T5" s="64"/>
      <c r="U5" s="67"/>
      <c r="V5" s="68"/>
      <c r="W5" s="66"/>
      <c r="X5" s="64"/>
      <c r="Y5" s="64"/>
      <c r="Z5" s="64"/>
    </row>
    <row r="6" spans="1:26" x14ac:dyDescent="0.3">
      <c r="A6" s="65"/>
      <c r="B6" s="65"/>
      <c r="C6" s="64"/>
      <c r="D6" s="64"/>
      <c r="E6" s="64"/>
      <c r="F6" s="64"/>
      <c r="G6" s="64"/>
      <c r="H6" s="64"/>
      <c r="I6" s="64"/>
      <c r="J6" s="64"/>
      <c r="K6" s="66"/>
      <c r="L6" s="64"/>
      <c r="M6" s="64"/>
      <c r="N6" s="64"/>
      <c r="O6" s="64"/>
      <c r="P6" s="64"/>
      <c r="Q6" s="64"/>
      <c r="R6" s="64"/>
      <c r="S6" s="64"/>
      <c r="T6" s="64"/>
      <c r="U6" s="67"/>
      <c r="V6" s="68"/>
      <c r="W6" s="64"/>
      <c r="X6" s="64"/>
      <c r="Y6" s="64"/>
      <c r="Z6" s="64"/>
    </row>
    <row r="7" spans="1:26" x14ac:dyDescent="0.3">
      <c r="A7" s="65"/>
      <c r="B7" s="65"/>
      <c r="C7" s="64"/>
      <c r="D7" s="64"/>
      <c r="E7" s="64"/>
      <c r="F7" s="64"/>
      <c r="G7" s="64"/>
      <c r="H7" s="64"/>
      <c r="I7" s="64"/>
      <c r="J7" s="64"/>
      <c r="K7" s="66"/>
      <c r="L7" s="64"/>
      <c r="M7" s="64"/>
      <c r="N7" s="64"/>
      <c r="O7" s="64"/>
      <c r="P7" s="64"/>
      <c r="Q7" s="64"/>
      <c r="R7" s="64"/>
      <c r="S7" s="64"/>
      <c r="T7" s="64"/>
      <c r="U7" s="67"/>
      <c r="V7" s="68"/>
      <c r="W7" s="66"/>
      <c r="X7" s="64"/>
      <c r="Y7" s="64"/>
      <c r="Z7" s="64"/>
    </row>
    <row r="8" spans="1:26" x14ac:dyDescent="0.3">
      <c r="A8" s="65"/>
      <c r="B8" s="65"/>
      <c r="C8" s="64"/>
      <c r="D8" s="64"/>
      <c r="E8" s="64"/>
      <c r="F8" s="64"/>
      <c r="G8" s="64"/>
      <c r="H8" s="64"/>
      <c r="I8" s="64"/>
      <c r="J8" s="64"/>
      <c r="K8" s="66"/>
      <c r="L8" s="64"/>
      <c r="M8" s="64"/>
      <c r="N8" s="64"/>
      <c r="O8" s="64"/>
      <c r="P8" s="64"/>
      <c r="Q8" s="64"/>
      <c r="R8" s="64"/>
      <c r="S8" s="64"/>
      <c r="T8" s="64"/>
      <c r="U8" s="67"/>
      <c r="V8" s="68"/>
      <c r="W8" s="64"/>
      <c r="X8" s="64"/>
      <c r="Y8" s="64"/>
      <c r="Z8" s="64"/>
    </row>
    <row r="9" spans="1:26" x14ac:dyDescent="0.3">
      <c r="A9" s="65"/>
      <c r="B9" s="65"/>
      <c r="C9" s="64"/>
      <c r="D9" s="64"/>
      <c r="E9" s="64"/>
      <c r="F9" s="64"/>
      <c r="G9" s="64"/>
      <c r="H9" s="64"/>
      <c r="I9" s="64"/>
      <c r="J9" s="64"/>
      <c r="K9" s="66"/>
      <c r="L9" s="64"/>
      <c r="M9" s="64"/>
      <c r="N9" s="64"/>
      <c r="O9" s="64"/>
      <c r="P9" s="64"/>
      <c r="Q9" s="64"/>
      <c r="R9" s="64"/>
      <c r="S9" s="64"/>
      <c r="T9" s="64"/>
      <c r="U9" s="67"/>
      <c r="V9" s="68"/>
      <c r="W9" s="66"/>
      <c r="X9" s="64"/>
      <c r="Y9" s="64"/>
      <c r="Z9" s="64"/>
    </row>
    <row r="10" spans="1:26" x14ac:dyDescent="0.3">
      <c r="A10" s="65"/>
      <c r="B10" s="65"/>
      <c r="C10" s="64"/>
      <c r="D10" s="64"/>
      <c r="E10" s="64"/>
      <c r="F10" s="64"/>
      <c r="G10" s="64"/>
      <c r="H10" s="64"/>
      <c r="I10" s="64"/>
      <c r="J10" s="64"/>
      <c r="K10" s="66"/>
      <c r="L10" s="64"/>
      <c r="M10" s="64"/>
      <c r="N10" s="64"/>
      <c r="O10" s="64"/>
      <c r="P10" s="64"/>
      <c r="Q10" s="64"/>
      <c r="R10" s="64"/>
      <c r="S10" s="64"/>
      <c r="T10" s="64"/>
      <c r="U10" s="67"/>
      <c r="V10" s="68"/>
      <c r="W10" s="64"/>
      <c r="X10" s="64"/>
      <c r="Y10" s="64"/>
      <c r="Z10" s="64"/>
    </row>
    <row r="11" spans="1:26" x14ac:dyDescent="0.3">
      <c r="A11" s="65"/>
      <c r="B11" s="65"/>
      <c r="C11" s="64"/>
      <c r="D11" s="64"/>
      <c r="E11" s="64"/>
      <c r="F11" s="64"/>
      <c r="G11" s="64"/>
      <c r="H11" s="64"/>
      <c r="I11" s="64"/>
      <c r="J11" s="64"/>
      <c r="K11" s="66"/>
      <c r="L11" s="64"/>
      <c r="M11" s="64"/>
      <c r="N11" s="64"/>
      <c r="O11" s="64"/>
      <c r="P11" s="64"/>
      <c r="Q11" s="64"/>
      <c r="R11" s="64"/>
      <c r="S11" s="64"/>
      <c r="T11" s="64"/>
      <c r="U11" s="67"/>
      <c r="V11" s="68"/>
      <c r="W11" s="66"/>
      <c r="X11" s="64"/>
      <c r="Y11" s="64"/>
      <c r="Z11" s="64"/>
    </row>
    <row r="12" spans="1:26" x14ac:dyDescent="0.3">
      <c r="A12" s="65"/>
      <c r="B12" s="65"/>
      <c r="C12" s="64"/>
      <c r="D12" s="64"/>
      <c r="E12" s="64"/>
      <c r="F12" s="64"/>
      <c r="G12" s="64"/>
      <c r="H12" s="64"/>
      <c r="I12" s="64"/>
      <c r="J12" s="64"/>
      <c r="K12" s="66"/>
      <c r="L12" s="64"/>
      <c r="M12" s="64"/>
      <c r="N12" s="64"/>
      <c r="O12" s="64"/>
      <c r="P12" s="64"/>
      <c r="Q12" s="64"/>
      <c r="R12" s="64"/>
      <c r="S12" s="64"/>
      <c r="T12" s="64"/>
      <c r="U12" s="67"/>
      <c r="V12" s="68"/>
      <c r="W12" s="64"/>
      <c r="X12" s="64"/>
      <c r="Y12" s="64"/>
      <c r="Z12" s="64"/>
    </row>
    <row r="13" spans="1:26" x14ac:dyDescent="0.3">
      <c r="A13" s="65"/>
      <c r="B13" s="65"/>
      <c r="C13" s="64"/>
      <c r="D13" s="64"/>
      <c r="E13" s="64"/>
      <c r="F13" s="64"/>
      <c r="G13" s="64"/>
      <c r="H13" s="64"/>
      <c r="I13" s="64"/>
      <c r="J13" s="64"/>
      <c r="K13" s="66"/>
      <c r="L13" s="64"/>
      <c r="M13" s="64"/>
      <c r="N13" s="64"/>
      <c r="O13" s="64"/>
      <c r="P13" s="64"/>
      <c r="Q13" s="64"/>
      <c r="R13" s="64"/>
      <c r="S13" s="64"/>
      <c r="T13" s="64"/>
      <c r="U13" s="67"/>
      <c r="V13" s="68"/>
      <c r="W13" s="66"/>
      <c r="X13" s="64"/>
      <c r="Y13" s="64"/>
      <c r="Z13" s="64"/>
    </row>
    <row r="14" spans="1:26" x14ac:dyDescent="0.3">
      <c r="A14" s="65"/>
      <c r="B14" s="65"/>
      <c r="C14" s="64"/>
      <c r="D14" s="64"/>
      <c r="E14" s="64"/>
      <c r="F14" s="64"/>
      <c r="G14" s="64"/>
      <c r="H14" s="64"/>
      <c r="I14" s="64"/>
      <c r="J14" s="64"/>
      <c r="K14" s="66"/>
      <c r="L14" s="64"/>
      <c r="M14" s="64"/>
      <c r="N14" s="64"/>
      <c r="O14" s="64"/>
      <c r="P14" s="64"/>
      <c r="Q14" s="64"/>
      <c r="R14" s="64"/>
      <c r="S14" s="64"/>
      <c r="T14" s="64"/>
      <c r="U14" s="67"/>
      <c r="V14" s="68"/>
      <c r="W14" s="64"/>
      <c r="X14" s="64"/>
      <c r="Y14" s="64"/>
      <c r="Z14" s="64"/>
    </row>
    <row r="15" spans="1:26" x14ac:dyDescent="0.3">
      <c r="A15" s="65"/>
      <c r="B15" s="65"/>
      <c r="C15" s="64"/>
      <c r="D15" s="64"/>
      <c r="E15" s="64"/>
      <c r="F15" s="64"/>
      <c r="G15" s="64"/>
      <c r="H15" s="64"/>
      <c r="I15" s="64"/>
      <c r="J15" s="64"/>
      <c r="K15" s="66"/>
      <c r="L15" s="64"/>
      <c r="M15" s="64"/>
      <c r="N15" s="64"/>
      <c r="O15" s="64"/>
      <c r="P15" s="64"/>
      <c r="Q15" s="64"/>
      <c r="R15" s="64"/>
      <c r="S15" s="64"/>
      <c r="T15" s="64"/>
      <c r="U15" s="67"/>
      <c r="V15" s="68"/>
      <c r="W15" s="66"/>
      <c r="X15" s="64"/>
      <c r="Y15" s="64"/>
      <c r="Z15" s="64"/>
    </row>
    <row r="16" spans="1:26" x14ac:dyDescent="0.3">
      <c r="A16" s="65"/>
      <c r="B16" s="65"/>
      <c r="C16" s="64"/>
      <c r="D16" s="64"/>
      <c r="E16" s="64"/>
      <c r="F16" s="64"/>
      <c r="G16" s="64"/>
      <c r="H16" s="64"/>
      <c r="I16" s="64"/>
      <c r="J16" s="64"/>
      <c r="K16" s="66"/>
      <c r="L16" s="64"/>
      <c r="M16" s="64"/>
      <c r="N16" s="64"/>
      <c r="O16" s="64"/>
      <c r="P16" s="64"/>
      <c r="Q16" s="64"/>
      <c r="R16" s="64"/>
      <c r="S16" s="64"/>
      <c r="T16" s="64"/>
      <c r="U16" s="67"/>
      <c r="V16" s="68"/>
      <c r="W16" s="64"/>
      <c r="X16" s="64"/>
      <c r="Y16" s="64"/>
      <c r="Z16" s="64"/>
    </row>
  </sheetData>
  <autoFilter ref="A2:Z16" xr:uid="{CA8F5B2A-8BD8-46B1-A763-06E3DE628CFB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Tablas dinamicas</vt:lpstr>
      <vt:lpstr>DB Futuros</vt:lpstr>
      <vt:lpstr>Bitacora</vt:lpstr>
      <vt:lpstr>TradeManager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Marcelo</dc:creator>
  <cp:lastModifiedBy>Andres Boutin Pulido</cp:lastModifiedBy>
  <dcterms:created xsi:type="dcterms:W3CDTF">2020-08-09T20:11:58Z</dcterms:created>
  <dcterms:modified xsi:type="dcterms:W3CDTF">2020-10-06T21:35:40Z</dcterms:modified>
</cp:coreProperties>
</file>